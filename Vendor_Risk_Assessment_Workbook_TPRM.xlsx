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e28155179acac2a/Desktop/Home Lab/"/>
    </mc:Choice>
  </mc:AlternateContent>
  <xr:revisionPtr revIDLastSave="0" documentId="8_{65C9D6AF-F129-4E35-9F95-794E699D4F6E}" xr6:coauthVersionLast="47" xr6:coauthVersionMax="47" xr10:uidLastSave="{00000000-0000-0000-0000-000000000000}"/>
  <bookViews>
    <workbookView xWindow="-108" yWindow="-108" windowWidth="23256" windowHeight="12456" tabRatio="500" firstSheet="2" activeTab="5" xr2:uid="{00000000-000D-0000-FFFF-FFFF00000000}"/>
  </bookViews>
  <sheets>
    <sheet name="1 · Vendor Profile" sheetId="2" r:id="rId1"/>
    <sheet name="2 · Tiering" sheetId="3" r:id="rId2"/>
    <sheet name="3 · Questionnaire" sheetId="4" r:id="rId3"/>
    <sheet name="4 · Findings" sheetId="5" r:id="rId4"/>
    <sheet name="5 · Risk Matrix" sheetId="6" r:id="rId5"/>
    <sheet name="6 · Decision" sheetId="7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5" l="1"/>
  <c r="I25" i="5" s="1"/>
  <c r="H24" i="5"/>
  <c r="I24" i="5" s="1"/>
  <c r="H23" i="5"/>
  <c r="I23" i="5" s="1"/>
  <c r="H22" i="5"/>
  <c r="I22" i="5" s="1"/>
  <c r="H21" i="5"/>
  <c r="I21" i="5" s="1"/>
  <c r="H20" i="5"/>
  <c r="I20" i="5" s="1"/>
  <c r="H19" i="5"/>
  <c r="I19" i="5" s="1"/>
  <c r="H18" i="5"/>
  <c r="I18" i="5" s="1"/>
  <c r="H17" i="5"/>
  <c r="I17" i="5" s="1"/>
  <c r="H16" i="5"/>
  <c r="I16" i="5" s="1"/>
  <c r="H15" i="5"/>
  <c r="I15" i="5" s="1"/>
  <c r="H6" i="5"/>
  <c r="I6" i="5" s="1"/>
  <c r="C51" i="4"/>
  <c r="C50" i="4"/>
  <c r="C49" i="4"/>
  <c r="C48" i="4"/>
  <c r="E10" i="3"/>
  <c r="C12" i="3" s="1"/>
  <c r="C5" i="7" s="1"/>
  <c r="D10" i="3"/>
  <c r="E9" i="3"/>
  <c r="E8" i="3"/>
  <c r="E7" i="3"/>
  <c r="E6" i="3"/>
  <c r="C9" i="7" l="1"/>
  <c r="C6" i="7"/>
  <c r="C7" i="7"/>
  <c r="C8" i="7"/>
</calcChain>
</file>

<file path=xl/sharedStrings.xml><?xml version="1.0" encoding="utf-8"?>
<sst xmlns="http://schemas.openxmlformats.org/spreadsheetml/2006/main" count="316" uniqueCount="253">
  <si>
    <t>1 · Vendor Profile &amp; Scope</t>
  </si>
  <si>
    <t>Assessment reference</t>
  </si>
  <si>
    <t>MTB-TPRM-2026-0417</t>
  </si>
  <si>
    <t>Vendor name</t>
  </si>
  <si>
    <t>Service / product</t>
  </si>
  <si>
    <t>Business process it supports</t>
  </si>
  <si>
    <t>Data types held</t>
  </si>
  <si>
    <t>Approx. records within 12 months</t>
  </si>
  <si>
    <t>Is the process critical / important?</t>
  </si>
  <si>
    <t>Hosting &amp; region(s)</t>
  </si>
  <si>
    <t>Subprocessors (fourth parties)</t>
  </si>
  <si>
    <t>Certifications claimed</t>
  </si>
  <si>
    <t>Assessor name</t>
  </si>
  <si>
    <t>Assessment date</t>
  </si>
  <si>
    <t>2 · Inherent Risk Tiering</t>
  </si>
  <si>
    <t>Inherent-risk factor</t>
  </si>
  <si>
    <t>Score 1-5</t>
  </si>
  <si>
    <t>Weight</t>
  </si>
  <si>
    <t>Weighted</t>
  </si>
  <si>
    <t>Data sensitivity (PII, financial, special category)</t>
  </si>
  <si>
    <t>Operational criticality (how critical / hard to pause)</t>
  </si>
  <si>
    <t>Regulatory exposure (GDPR, DORA, sector rules)</t>
  </si>
  <si>
    <t>System / network / data access granted</t>
  </si>
  <si>
    <t>Weighted inherent-risk score</t>
  </si>
  <si>
    <t>VENDOR TIER</t>
  </si>
  <si>
    <t>3 · Due Diligence Questionnaire</t>
  </si>
  <si>
    <t>Control</t>
  </si>
  <si>
    <t>Vendor claim (summary)</t>
  </si>
  <si>
    <t>Evidence ref</t>
  </si>
  <si>
    <t>Verdict</t>
  </si>
  <si>
    <t>Assessor note</t>
  </si>
  <si>
    <t>Section 1 · Governance &amp; policy</t>
  </si>
  <si>
    <t>Documented, senior-approved infosec policy</t>
  </si>
  <si>
    <t>Yes, policy provided</t>
  </si>
  <si>
    <t>D4</t>
  </si>
  <si>
    <t>Met</t>
  </si>
  <si>
    <t>Policy reviewed at least annually</t>
  </si>
  <si>
    <t>Yes, annual review</t>
  </si>
  <si>
    <t>Named security owner</t>
  </si>
  <si>
    <t>No dedicated owner; eng leadership</t>
  </si>
  <si>
    <t>Q1.3</t>
  </si>
  <si>
    <t>Section 2 · Access control &amp; identity</t>
  </si>
  <si>
    <t>MFA on customer application</t>
  </si>
  <si>
    <t>Yes</t>
  </si>
  <si>
    <t>SOC2 / Q2.1</t>
  </si>
  <si>
    <t>MFA on admin console &amp; VPN</t>
  </si>
  <si>
    <t>Roadmap; VPN is password-only</t>
  </si>
  <si>
    <t>D1 / D3-H2</t>
  </si>
  <si>
    <t>Periodic access recertification</t>
  </si>
  <si>
    <t>Yes (claimed)</t>
  </si>
  <si>
    <t>D1 exceptions</t>
  </si>
  <si>
    <t>No shared / generic admin accounts</t>
  </si>
  <si>
    <t>Some shared accounts used</t>
  </si>
  <si>
    <t>Q2.4</t>
  </si>
  <si>
    <t>Section 3 · Data protection &amp; encryption</t>
  </si>
  <si>
    <t>Encryption at rest (AES-256)</t>
  </si>
  <si>
    <t>Q3.1</t>
  </si>
  <si>
    <t>Encryption in transit (TLS 1.2+)</t>
  </si>
  <si>
    <t>Yes, customer traffic</t>
  </si>
  <si>
    <t>Q3.2 / D3-H1</t>
  </si>
  <si>
    <t>PII processed outside UK/EEA controlled</t>
  </si>
  <si>
    <t>Offshore support has access</t>
  </si>
  <si>
    <t>B / D7</t>
  </si>
  <si>
    <t>Approved transfer mechanism (SCCs)</t>
  </si>
  <si>
    <t>Referenced, not attached</t>
  </si>
  <si>
    <t>D7</t>
  </si>
  <si>
    <t>Defined retention schedule</t>
  </si>
  <si>
    <t>'As long as necessary'</t>
  </si>
  <si>
    <t>Section 4 · Vulnerability &amp; patch mgmt</t>
  </si>
  <si>
    <t>Regular vulnerability scanning</t>
  </si>
  <si>
    <t>Yes, monthly</t>
  </si>
  <si>
    <t>Q4.1</t>
  </si>
  <si>
    <t>Annual independent pen test</t>
  </si>
  <si>
    <t>Yes (but 14 months old)</t>
  </si>
  <si>
    <t>D3</t>
  </si>
  <si>
    <t>Pen-test findings remediated in SLA</t>
  </si>
  <si>
    <t>2 High findings still open</t>
  </si>
  <si>
    <t>Section 5 · Secure development</t>
  </si>
  <si>
    <t>Secure SDLC with code review</t>
  </si>
  <si>
    <t>Yes, PR review</t>
  </si>
  <si>
    <t>Q5.1</t>
  </si>
  <si>
    <t>Environments separated</t>
  </si>
  <si>
    <t>Q5.2</t>
  </si>
  <si>
    <t>Section 6 · Logging, monitoring &amp; IR</t>
  </si>
  <si>
    <t>Documented incident response plan</t>
  </si>
  <si>
    <t>D5</t>
  </si>
  <si>
    <t>Committed breach-notification timeframe</t>
  </si>
  <si>
    <t>'Promptly', no SLA</t>
  </si>
  <si>
    <t>D5 / D7</t>
  </si>
  <si>
    <t>IR plan tested in last 12 months</t>
  </si>
  <si>
    <t>No record provided</t>
  </si>
  <si>
    <t>Section 7 · Business continuity &amp; DR</t>
  </si>
  <si>
    <t>Documented RTO / RPO</t>
  </si>
  <si>
    <t>RTO 8h / RPO 4h</t>
  </si>
  <si>
    <t>D6</t>
  </si>
  <si>
    <t>Multi-region failover</t>
  </si>
  <si>
    <t>Single region eu-west-1</t>
  </si>
  <si>
    <t>DR test in last 12 months</t>
  </si>
  <si>
    <t>Last test Feb 2024</t>
  </si>
  <si>
    <t>Section 8 · Fourth-party management</t>
  </si>
  <si>
    <t>Subprocessor list maintained</t>
  </si>
  <si>
    <t>B</t>
  </si>
  <si>
    <t>Security obligations flowed down &amp; assessed</t>
  </si>
  <si>
    <t>Not evidenced for offshore</t>
  </si>
  <si>
    <t>Q8.2</t>
  </si>
  <si>
    <t>Section 9 · Compliance &amp; assurance</t>
  </si>
  <si>
    <t>Current SOC 2 (type &amp; scope adequate)</t>
  </si>
  <si>
    <t>Type II, Security only, stale</t>
  </si>
  <si>
    <t>D1</t>
  </si>
  <si>
    <t>Current ISO 27001 (scope adequate)</t>
  </si>
  <si>
    <t>Excludes offshore; expires soon</t>
  </si>
  <si>
    <t>D2</t>
  </si>
  <si>
    <t>Right to audit granted</t>
  </si>
  <si>
    <t>No, SOC 2 offered instead</t>
  </si>
  <si>
    <t>Section 10 · Physical &amp; personnel security</t>
  </si>
  <si>
    <t>Screening of staff with data access</t>
  </si>
  <si>
    <t>UK staff yes</t>
  </si>
  <si>
    <t>Q10.1</t>
  </si>
  <si>
    <t>Screening extends to offshore prod access</t>
  </si>
  <si>
    <t>Via partner HR; not evidenced</t>
  </si>
  <si>
    <t>Q10.2</t>
  </si>
  <si>
    <t>Verdict summary</t>
  </si>
  <si>
    <t>Partially met</t>
  </si>
  <si>
    <t>Not met</t>
  </si>
  <si>
    <t>N/A</t>
  </si>
  <si>
    <t>4 · Findings Register</t>
  </si>
  <si>
    <t>ID</t>
  </si>
  <si>
    <t>Domain</t>
  </si>
  <si>
    <t>Finding</t>
  </si>
  <si>
    <t>Owner</t>
  </si>
  <si>
    <t>Likelihood
1-5</t>
  </si>
  <si>
    <t>Impact
1-5</t>
  </si>
  <si>
    <t>Score</t>
  </si>
  <si>
    <t>Rating</t>
  </si>
  <si>
    <t>Recommendation</t>
  </si>
  <si>
    <t>Due date</t>
  </si>
  <si>
    <t>Status</t>
  </si>
  <si>
    <t>F1</t>
  </si>
  <si>
    <t>BC / DR (Section 7)</t>
  </si>
  <si>
    <t>No evidenced DR/failover test in &gt;12 months; single AWS region, no cross-region failover.</t>
  </si>
  <si>
    <t>Vendor</t>
  </si>
  <si>
    <t>Configure cross-region failover; run and evidence a full DR test.</t>
  </si>
  <si>
    <t>30 days</t>
  </si>
  <si>
    <t>Open</t>
  </si>
  <si>
    <t>5 · Risk Rating Matrix (Likelihood x Impact)</t>
  </si>
  <si>
    <t>Impact ↓ / Likelihood →</t>
  </si>
  <si>
    <t>1 Rare</t>
  </si>
  <si>
    <t>2 Unlikely</t>
  </si>
  <si>
    <t>3 Possible</t>
  </si>
  <si>
    <t>4 Likely</t>
  </si>
  <si>
    <t>5 Almost certain</t>
  </si>
  <si>
    <t>5 Severe</t>
  </si>
  <si>
    <t>4 Major</t>
  </si>
  <si>
    <t>3 Moderate</t>
  </si>
  <si>
    <t>2 Minor</t>
  </si>
  <si>
    <t>1 Negligible</t>
  </si>
  <si>
    <t>Rating bands</t>
  </si>
  <si>
    <t xml:space="preserve">   Low  (1-4)</t>
  </si>
  <si>
    <t xml:space="preserve">   Medium  (5-9)</t>
  </si>
  <si>
    <t xml:space="preserve">   High  (10-14)</t>
  </si>
  <si>
    <t xml:space="preserve">   Critical  (15-25)</t>
  </si>
  <si>
    <t>6 · Assessment Decision</t>
  </si>
  <si>
    <t>Vendor tier</t>
  </si>
  <si>
    <t>Critical findings</t>
  </si>
  <si>
    <t>High findings</t>
  </si>
  <si>
    <t>Medium findings</t>
  </si>
  <si>
    <t>Low findings</t>
  </si>
  <si>
    <t>Overall residual risk (your view)</t>
  </si>
  <si>
    <t>Within the bank's risk appetite?</t>
  </si>
  <si>
    <t>Conditions / remediation deadline</t>
  </si>
  <si>
    <t>Accountable risk owner</t>
  </si>
  <si>
    <t>Decision date</t>
  </si>
  <si>
    <t>CloudLedger Technologies Ltd</t>
  </si>
  <si>
    <t>OriginateCloud - cloud loan-origination and document-management SaaS platform</t>
  </si>
  <si>
    <t>Personal-loan and mortgage application origination, affordability checks, document collection and lending workflow management</t>
  </si>
  <si>
    <t>Customer full name, address, date of birth, contact details, income and employment data, bank statements, and scanned identity documents (passport / driving licence)</t>
  </si>
  <si>
    <t>Yes - supports a critical / important retail-lending process and holds customer personal and financial data</t>
  </si>
  <si>
    <t>Amazon Web Services, eu-west-1 (Ireland); single region across multiple availability zones, with no secondary region configured</t>
  </si>
  <si>
    <t>Amazon Web Services - hosting/storage (Ireland); VerifyID Ltd - identity verification (UK); MailRelay Inc. - transactional email (US); CloudLedger Support offshore centre - L1 customer support with full production access (outside UK/EEA)</t>
  </si>
  <si>
    <t>SOC 2 Type II; ISO/IEC 27001</t>
  </si>
  <si>
    <t>Adithyakrishnan Sureshbabu</t>
  </si>
  <si>
    <t xml:space="preserve"> AES-256 at rest confirmed in Q3.1. Leave verdict cells like this.</t>
  </si>
  <si>
    <t>D4 was last reviewed in January 2024, so the stated annual review cycle has not been met.</t>
  </si>
  <si>
    <t>Q1.3 gives only general engineering oversight; D4 has no named owner and no dedicated security lead.</t>
  </si>
  <si>
    <t>D1 independently confirms MFA is enforced on the customer application.</t>
  </si>
  <si>
    <t>D1 and D3-H2 confirm the admin console lacked MFA; VPN access is also password-only.</t>
  </si>
  <si>
    <t>D1 shows reviews exist, but 3 of 12 quarterly reviews were late and one leaver retained access for 14 days.</t>
  </si>
  <si>
    <t>Q2.4 confirms shared service/admin accounts are used, contrary to the control.</t>
  </si>
  <si>
    <t>Q3.1 and D7 confirm AWS-managed AES-256 encryption at rest.</t>
  </si>
  <si>
    <t>Customer traffic uses TLS 1.2+, but D3-H1 found TLS 1.0/1.1 enabled on a legacy support endpoint.</t>
  </si>
  <si>
    <t>Offshore access is declared, but D7 lacks attached SCCs and a transfer risk assessment.</t>
  </si>
  <si>
    <t>D7 names SCCs but they are not attached, and no transfer risk assessment is provided.</t>
  </si>
  <si>
    <t>D7 says only 'as long as necessary'; no defined retention periods are provided.</t>
  </si>
  <si>
    <t>Monthly scanning is claimed in Q4.1, but no scan report or other supporting evidence was supplied.</t>
  </si>
  <si>
    <t>D3 confirms an independent test, but it is 14 months old and external unauthenticated test.</t>
  </si>
  <si>
    <t>D3 shows findings H1 and H2 remain open past the 90-day remediation SLA.</t>
  </si>
  <si>
    <t>Q5.1 claims pull-request review, but no SDLC policy, samples or independent evidence were supplied.</t>
  </si>
  <si>
    <t>Q5.2 claims logical separation in AWS, but no architecture or configuration evidence was supplied.</t>
  </si>
  <si>
    <t>D5 documents severity levels, escalation, containment, eradication and recovery steps.</t>
  </si>
  <si>
    <t>D5 and D7 say 'promptly' or 'without undue delay' but set no fixed breach-notification SLA.</t>
  </si>
  <si>
    <t>No record of a tabletop or live exercise in the last 12 months is provided</t>
  </si>
  <si>
    <t>D6 documents an RTO of 8 hours and an RPO of 4 hours.</t>
  </si>
  <si>
    <t>D6 confirms multi-AZ operation in one region only, with no secondary-region failover.</t>
  </si>
  <si>
    <t>D6 shows the last test was partial in February 2024; no full test occurred within 12 months.</t>
  </si>
  <si>
    <t>Section B provides a complete declared subprocessor list; D1 CUECs also reference notification review.</t>
  </si>
  <si>
    <t>Q8.2 provides no evidence that obligations are flowed down or that offshore support is assessed.</t>
  </si>
  <si>
    <t>D1 is Type II, but coverage ended March 2025, only Security was in scope, offshore support was excluded, and exceptions remain.</t>
  </si>
  <si>
    <t>D2 remains valid to August 2026, but surveillance is pending and offshore support is excluded from scope.</t>
  </si>
  <si>
    <t>D7 confirms there is no contractual right to audit; the SOC 2 report is offered instead.</t>
  </si>
  <si>
    <t>Q10.1 claims UK screening, but no screening policy or sample evidence was supplied.</t>
  </si>
  <si>
    <t>Q10.2 relies on partner HR; no evidence confirms screening of offshore staff with production access.</t>
  </si>
  <si>
    <t>F2</t>
  </si>
  <si>
    <t>Data protection (Section 3)</t>
  </si>
  <si>
    <t>Offshore support has full production access to customer PII without attached SCCs or a documented transfer risk assessment.</t>
  </si>
  <si>
    <t>Bank</t>
  </si>
  <si>
    <t>Critical</t>
  </si>
  <si>
    <t>Attach approved SCCs, complete a transfer risk assessment, and restrict offshore production access to least privilege.</t>
  </si>
  <si>
    <t>Before go-live; 23 Aug 2026</t>
  </si>
  <si>
    <t>F3</t>
  </si>
  <si>
    <t>Access control (Section 2)</t>
  </si>
  <si>
    <t>Administrative and VPN access lacks MFA; shared admin accounts are used, and access reviews/deprovisioning were not consistently timely.</t>
  </si>
  <si>
    <t>High</t>
  </si>
  <si>
    <t>Enforce MFA for admin/VPN access, remove shared privileged accounts, and evidence timely reviews and deprovisioning.</t>
  </si>
  <si>
    <t>F4</t>
  </si>
  <si>
    <t>The penetration test is overdue and limited in scope; two High findings, including legacy TLS and internet-exposed admin access, remain past SLA.</t>
  </si>
  <si>
    <t>Close H1/H2, commission a current authenticated/internal and external test, and provide monthly vulnerability-scan evidence.</t>
  </si>
  <si>
    <t>F5</t>
  </si>
  <si>
    <t>Assurance (Section 9)</t>
  </si>
  <si>
    <t>SOC 2 evidence is stale and Security-only, while both SOC 2 and ISO 27001 exclude the offshore support operation; ISO surveillance is pending.</t>
  </si>
  <si>
    <t>Provide current assurance covering relevant criteria and offshore support, plus renewed ISO certification/surveillance evidence.</t>
  </si>
  <si>
    <t>F6</t>
  </si>
  <si>
    <t>Governance (Section 1)</t>
  </si>
  <si>
    <t>The information-security policy is overdue for review, lacks senior-management approval and a document owner, and no named security lead is evidenced.</t>
  </si>
  <si>
    <t>Medium</t>
  </si>
  <si>
    <t>Appoint a named security owner and reapprove the policy with complete document control and an annual review record.</t>
  </si>
  <si>
    <t>F7</t>
  </si>
  <si>
    <t>Incident response (Section 6)</t>
  </si>
  <si>
    <t>The incident-response plan has no evidenced exercise in the last 12 months and no fixed client breach-notification commitment.</t>
  </si>
  <si>
    <t>Run and evidence a tabletop exercise and agree a fixed breach-notification SLA in the contract.</t>
  </si>
  <si>
    <t>F8</t>
  </si>
  <si>
    <t>Control evidence (Sections 4, 5, 10)</t>
  </si>
  <si>
    <t>Monthly scanning, secure code review, environment separation, and personnel screening are claimed but not supported by evidence.</t>
  </si>
  <si>
    <t>Provide policies, configurations, samples and operating evidence for scanning, SDLC, environment separation and staff screening.</t>
  </si>
  <si>
    <t>F9</t>
  </si>
  <si>
    <t>Contract / fourth parties (Sections 3, 8, 9)</t>
  </si>
  <si>
    <t>Contract and supplier controls lack a right to audit, defined retention periods, and evidence that obligations are flowed down to offshore support.</t>
  </si>
  <si>
    <t>Add right-to-audit and retention terms, require security obligations to flow down, and obtain offshore due-diligence evidence.</t>
  </si>
  <si>
    <t>Before contract signature</t>
  </si>
  <si>
    <t>Vulnerability management (Section 4)</t>
  </si>
  <si>
    <t>No</t>
  </si>
  <si>
    <t>Approve with conditions</t>
  </si>
  <si>
    <t>Do not go live until F1 and F2 are closed and re-evidenced. Close or formally remediate F3-F5 within 30 days; complete F6-F9 within 90 days or before contract signature where stated.</t>
  </si>
  <si>
    <t>Head of Retail Lending (accountable business risk owner), with Head of Risk oversight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</si>
</sst>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dd\ mmm\ yyyy"/>
  </numFmts>
  <fonts count="25" x14ac:knownFonts="1">
    <font>
      <sz val="11"/>
      <color theme="1"/>
      <name val="Calibri"/>
      <family val="2"/>
      <charset val="1"/>
    </font>
    <font>
      <b/>
      <sz val="10"/>
      <color rgb="FF12305A"/>
      <name val="Arial"/>
      <charset val="1"/>
    </font>
    <font>
      <sz val="10"/>
      <color rgb="FF1C2230"/>
      <name val="Arial"/>
      <charset val="1"/>
    </font>
    <font>
      <b/>
      <sz val="11"/>
      <color rgb="FF232A3B"/>
      <name val="Arial"/>
      <charset val="1"/>
    </font>
    <font>
      <b/>
      <sz val="10"/>
      <color rgb="FFC0392B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.5"/>
      <color rgb="FF697089"/>
      <name val="Arial"/>
      <charset val="1"/>
    </font>
    <font>
      <b/>
      <sz val="10"/>
      <color rgb="FF1C2230"/>
      <name val="Arial"/>
      <charset val="1"/>
    </font>
    <font>
      <i/>
      <sz val="9"/>
      <color rgb="FF697089"/>
      <name val="Arial"/>
      <charset val="1"/>
    </font>
    <font>
      <sz val="9"/>
      <color rgb="FF697089"/>
      <name val="Arial"/>
      <charset val="1"/>
    </font>
    <font>
      <b/>
      <sz val="9.5"/>
      <color rgb="FFFFFFFF"/>
      <name val="Arial"/>
      <charset val="1"/>
    </font>
    <font>
      <b/>
      <sz val="11"/>
      <color rgb="FF1C2230"/>
      <name val="Arial"/>
      <charset val="1"/>
    </font>
    <font>
      <b/>
      <sz val="12"/>
      <color rgb="FFFFFFFF"/>
      <name val="Arial"/>
      <charset val="1"/>
    </font>
    <font>
      <sz val="9.5"/>
      <color rgb="FF1C2230"/>
      <name val="Arial"/>
      <charset val="1"/>
    </font>
    <font>
      <b/>
      <sz val="10"/>
      <color rgb="FF232A3B"/>
      <name val="Arial"/>
      <charset val="1"/>
    </font>
    <font>
      <b/>
      <sz val="9.5"/>
      <color rgb="FF1C2230"/>
      <name val="Arial"/>
      <charset val="1"/>
    </font>
    <font>
      <b/>
      <sz val="9"/>
      <color rgb="FFFFFFFF"/>
      <name val="Arial"/>
      <charset val="1"/>
    </font>
    <font>
      <b/>
      <sz val="11"/>
      <color rgb="FFFFFFFF"/>
      <name val="Arial"/>
      <charset val="1"/>
    </font>
    <font>
      <sz val="9.5"/>
      <color rgb="FF697089"/>
      <name val="Arial"/>
      <charset val="1"/>
    </font>
    <font>
      <sz val="10"/>
      <color rgb="FF1C2230"/>
      <name val="Arial"/>
      <family val="2"/>
    </font>
    <font>
      <sz val="9.5"/>
      <color rgb="FF1C2230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9"/>
      <color rgb="FF1C223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2305A"/>
        <bgColor rgb="FF232A3B"/>
      </patternFill>
    </fill>
    <fill>
      <patternFill patternType="solid">
        <fgColor rgb="FFA01F1F"/>
        <bgColor rgb="FFC0392B"/>
      </patternFill>
    </fill>
    <fill>
      <patternFill patternType="solid">
        <fgColor rgb="FFC0392B"/>
        <bgColor rgb="FFA01F1F"/>
      </patternFill>
    </fill>
    <fill>
      <patternFill patternType="solid">
        <fgColor rgb="FFC98A12"/>
        <bgColor rgb="FFB7791F"/>
      </patternFill>
    </fill>
    <fill>
      <patternFill patternType="solid">
        <fgColor rgb="FF1A7F4B"/>
        <bgColor rgb="FF008080"/>
      </patternFill>
    </fill>
    <fill>
      <patternFill patternType="solid">
        <fgColor rgb="FFEEF1F7"/>
        <bgColor rgb="FFEEF4FF"/>
      </patternFill>
    </fill>
    <fill>
      <patternFill patternType="solid">
        <fgColor rgb="FFFFF7D6"/>
        <bgColor rgb="FFFFFFFF"/>
      </patternFill>
    </fill>
    <fill>
      <patternFill patternType="solid">
        <fgColor rgb="FF232A3B"/>
        <bgColor rgb="FF1C2230"/>
      </patternFill>
    </fill>
    <fill>
      <patternFill patternType="solid">
        <fgColor rgb="FFEEF4FF"/>
        <bgColor rgb="FFEEF1F7"/>
      </patternFill>
    </fill>
    <fill>
      <patternFill patternType="solid">
        <fgColor rgb="FF697089"/>
        <bgColor rgb="FF808080"/>
      </patternFill>
    </fill>
    <fill>
      <patternFill patternType="solid">
        <fgColor rgb="FFFFF7D6"/>
        <bgColor rgb="FF000000"/>
      </patternFill>
    </fill>
    <fill>
      <patternFill patternType="solid">
        <fgColor rgb="FFFFF7D6"/>
      </patternFill>
    </fill>
  </fills>
  <borders count="3">
    <border>
      <left/>
      <right/>
      <top/>
      <bottom/>
      <diagonal/>
    </border>
    <border>
      <left style="thin">
        <color rgb="FFD5D9E3"/>
      </left>
      <right style="thin">
        <color rgb="FFD5D9E3"/>
      </right>
      <top style="thin">
        <color rgb="FFD5D9E3"/>
      </top>
      <bottom style="thin">
        <color rgb="FFD5D9E3"/>
      </bottom>
      <diagonal/>
    </border>
    <border>
      <left style="medium">
        <color rgb="FFD5D9E3"/>
      </left>
      <right style="medium">
        <color rgb="FFD5D9E3"/>
      </right>
      <top style="medium">
        <color rgb="FFD5D9E3"/>
      </top>
      <bottom style="medium">
        <color rgb="FFD5D9E3"/>
      </bottom>
      <diagonal/>
    </border>
  </borders>
  <cellStyleXfs count="67">
    <xf numFmtId="0" fontId="0" fillId="0" borderId="0"/>
    <xf numFmtId="0" fontId="22" fillId="0" borderId="0"/>
    <xf numFmtId="43" fontId="23" fillId="0" borderId="0" applyBorder="0" applyAlignment="0" applyProtection="0"/>
    <xf numFmtId="41" fontId="23" fillId="0" borderId="0" applyBorder="0" applyAlignment="0" applyProtection="0"/>
    <xf numFmtId="44" fontId="23" fillId="0" borderId="0" applyBorder="0" applyAlignment="0" applyProtection="0"/>
    <xf numFmtId="42" fontId="23" fillId="0" borderId="0" applyBorder="0" applyAlignment="0" applyProtection="0"/>
    <xf numFmtId="9" fontId="23" fillId="0" borderId="0" applyBorder="0" applyAlignment="0" applyProtection="0"/>
    <xf numFmtId="43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4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  <xf numFmtId="43" fontId="23" fillId="0" borderId="0" applyBorder="0" applyAlignment="0" applyProtection="0"/>
    <xf numFmtId="44" fontId="23" fillId="0" borderId="0" applyBorder="0" applyAlignment="0" applyProtection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3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8" fillId="8" borderId="1" xfId="0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0" fillId="7" borderId="1" xfId="0" applyFill="1" applyBorder="1"/>
    <xf numFmtId="9" fontId="8" fillId="7" borderId="1" xfId="0" applyNumberFormat="1" applyFont="1" applyFill="1" applyBorder="1" applyAlignment="1">
      <alignment horizontal="center" vertical="center" wrapText="1"/>
    </xf>
    <xf numFmtId="2" fontId="12" fillId="7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5" fillId="6" borderId="1" xfId="0" applyFont="1" applyFill="1" applyBorder="1" applyAlignment="1">
      <alignment horizontal="left" vertical="center" indent="1"/>
    </xf>
    <xf numFmtId="0" fontId="8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5" fillId="11" borderId="1" xfId="0" applyFont="1" applyFill="1" applyBorder="1" applyAlignment="1">
      <alignment horizontal="left" vertical="center" indent="1"/>
    </xf>
    <xf numFmtId="0" fontId="14" fillId="8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20" fillId="12" borderId="2" xfId="0" applyFont="1" applyFill="1" applyBorder="1" applyAlignment="1">
      <alignment horizontal="left" vertical="center" wrapText="1"/>
    </xf>
    <xf numFmtId="3" fontId="20" fillId="12" borderId="2" xfId="0" applyNumberFormat="1" applyFont="1" applyFill="1" applyBorder="1" applyAlignment="1">
      <alignment horizontal="left" vertical="center" wrapText="1"/>
    </xf>
    <xf numFmtId="164" fontId="20" fillId="12" borderId="2" xfId="0" applyNumberFormat="1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left" vertical="top" wrapText="1"/>
    </xf>
    <xf numFmtId="0" fontId="24" fillId="13" borderId="1" xfId="1" applyFont="1" applyFill="1" applyBorder="1" applyAlignment="1">
      <alignment horizontal="left" vertical="center" wrapText="1"/>
    </xf>
    <xf numFmtId="15" fontId="14" fillId="8" borderId="1" xfId="0" applyNumberFormat="1" applyFont="1" applyFill="1" applyBorder="1" applyAlignment="1">
      <alignment horizontal="center" vertical="center"/>
    </xf>
    <xf numFmtId="0" fontId="20" fillId="13" borderId="1" xfId="1" applyFont="1" applyFill="1" applyBorder="1" applyAlignment="1">
      <alignment horizontal="left" vertical="center" wrapText="1"/>
    </xf>
    <xf numFmtId="164" fontId="20" fillId="13" borderId="1" xfId="1" applyNumberFormat="1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indent="1"/>
    </xf>
    <xf numFmtId="0" fontId="13" fillId="0" borderId="1" xfId="0" applyFont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 indent="1"/>
    </xf>
  </cellXfs>
  <cellStyles count="67">
    <cellStyle name="Comma [0] 2" xfId="3" xr:uid="{1E7086BD-2E1B-4507-A0C7-DAAE087F7C38}"/>
    <cellStyle name="Comma 10" xfId="22" xr:uid="{75AFBD68-2C25-464F-8712-0EF0451D7807}"/>
    <cellStyle name="Comma 11" xfId="24" xr:uid="{9808FE4A-801F-4912-BDD3-4D8B543C6E3D}"/>
    <cellStyle name="Comma 12" xfId="26" xr:uid="{3FF34F21-53D2-4672-83C6-4EDB4F95F5E9}"/>
    <cellStyle name="Comma 13" xfId="28" xr:uid="{2452E978-F2BF-4BB9-9104-D14AEB63FE9E}"/>
    <cellStyle name="Comma 14" xfId="30" xr:uid="{298C184E-96F0-4ADD-85F9-5D6EC8BE0689}"/>
    <cellStyle name="Comma 15" xfId="32" xr:uid="{6038BF3F-5EDC-4C95-87F4-CA835BA0A7D5}"/>
    <cellStyle name="Comma 16" xfId="34" xr:uid="{88FE5F71-2A0B-402D-A883-10B8BB1B952D}"/>
    <cellStyle name="Comma 17" xfId="36" xr:uid="{E3E06DF8-324F-4348-8078-EC227925A8ED}"/>
    <cellStyle name="Comma 18" xfId="38" xr:uid="{7B5B1064-0EA5-4B79-9902-076CD237BC00}"/>
    <cellStyle name="Comma 19" xfId="40" xr:uid="{FA0FB6D2-F8FD-48B8-9171-585CE477C73A}"/>
    <cellStyle name="Comma 2" xfId="2" xr:uid="{8440A99B-E13A-4083-871B-B4E153113BBA}"/>
    <cellStyle name="Comma 20" xfId="42" xr:uid="{66E0E4BF-3F11-4DB5-91F3-9FB7FEB0F7C7}"/>
    <cellStyle name="Comma 21" xfId="44" xr:uid="{0A6296CB-F6A5-40ED-9CE1-BC3267F5F4BC}"/>
    <cellStyle name="Comma 22" xfId="46" xr:uid="{31843430-EAB7-47F6-938A-F875AB7C5791}"/>
    <cellStyle name="Comma 23" xfId="48" xr:uid="{CF209A40-B2C7-4372-8602-CC5245A61CC8}"/>
    <cellStyle name="Comma 24" xfId="50" xr:uid="{89019892-AD40-4156-9BB4-FE416A5D0FCC}"/>
    <cellStyle name="Comma 25" xfId="52" xr:uid="{DB25D729-11AA-488E-ABA7-7B2625914094}"/>
    <cellStyle name="Comma 26" xfId="54" xr:uid="{C7DD4990-A8E2-4F19-B417-213D09C2CDDA}"/>
    <cellStyle name="Comma 27" xfId="56" xr:uid="{6BCA81BB-DBEF-44DF-BFFE-240D17DF1399}"/>
    <cellStyle name="Comma 28" xfId="58" xr:uid="{3E2C8D48-8C08-4F5C-A511-9D67803CFBDF}"/>
    <cellStyle name="Comma 29" xfId="60" xr:uid="{607257EA-BE0B-4A05-8067-3A0E2860C204}"/>
    <cellStyle name="Comma 3" xfId="8" xr:uid="{A0FA3F3D-3099-4C8C-9BCC-CDA62DFB47B8}"/>
    <cellStyle name="Comma 30" xfId="62" xr:uid="{C9B7F629-5F67-4635-8950-FCECF7F8951B}"/>
    <cellStyle name="Comma 31" xfId="63" xr:uid="{D9B4BFC9-B77A-45EA-9321-9606810BCBC0}"/>
    <cellStyle name="Comma 32" xfId="65" xr:uid="{C3C68C7C-83CF-4F50-81EF-CE832D6405BB}"/>
    <cellStyle name="Comma 4" xfId="7" xr:uid="{D517555E-6EE7-4D01-911D-0AD39B27A4CC}"/>
    <cellStyle name="Comma 5" xfId="12" xr:uid="{01EA7866-9CE1-47BB-8B73-7A278B03963A}"/>
    <cellStyle name="Comma 6" xfId="14" xr:uid="{C71EFF7D-B3EE-4985-8231-F97E197E97EE}"/>
    <cellStyle name="Comma 7" xfId="16" xr:uid="{9F7BC182-2155-463B-BB26-4173FB1CB9D9}"/>
    <cellStyle name="Comma 8" xfId="18" xr:uid="{6DFDED06-3873-477A-BBDE-DB9B33C3EE65}"/>
    <cellStyle name="Comma 9" xfId="20" xr:uid="{2AF00BDA-90C7-44DE-B663-E316865925E9}"/>
    <cellStyle name="Currency [0] 2" xfId="5" xr:uid="{00EFC006-26F6-42BD-ACBD-9813AA385921}"/>
    <cellStyle name="Currency 10" xfId="21" xr:uid="{30BB3310-0233-457E-BCD7-D939A3F25EA5}"/>
    <cellStyle name="Currency 11" xfId="23" xr:uid="{811F7CF9-A9F9-49C4-82BD-82DBED8045AC}"/>
    <cellStyle name="Currency 12" xfId="25" xr:uid="{1F9BAA51-B039-43CA-AECB-0C673E2BB01D}"/>
    <cellStyle name="Currency 13" xfId="27" xr:uid="{2060B97C-D1E9-4DB7-92EE-0B49DDC0D632}"/>
    <cellStyle name="Currency 14" xfId="29" xr:uid="{A8FFA15F-6B23-4BCC-B27B-71817D64D434}"/>
    <cellStyle name="Currency 15" xfId="31" xr:uid="{7C4D7A16-27A6-4E61-9B5E-B8393331584D}"/>
    <cellStyle name="Currency 16" xfId="33" xr:uid="{3315DF18-168C-4A36-A270-8E9C95BC50B8}"/>
    <cellStyle name="Currency 17" xfId="35" xr:uid="{8FC35F61-627F-4697-A6FE-36B63656AE0B}"/>
    <cellStyle name="Currency 18" xfId="37" xr:uid="{61426190-C990-4C95-87ED-2C92639C55DA}"/>
    <cellStyle name="Currency 19" xfId="39" xr:uid="{4259E16E-A743-4ADC-9D42-8F40D003DDE4}"/>
    <cellStyle name="Currency 2" xfId="4" xr:uid="{975B3F24-3A4D-43C9-AFDC-B1BFB2DA2598}"/>
    <cellStyle name="Currency 20" xfId="41" xr:uid="{927AEBF4-C082-4748-8972-573A3E36821B}"/>
    <cellStyle name="Currency 21" xfId="43" xr:uid="{BAAE238A-23C1-4617-BEDB-D382948D7800}"/>
    <cellStyle name="Currency 22" xfId="45" xr:uid="{D3D495B9-6E0A-4CAA-A31A-29943BE41F29}"/>
    <cellStyle name="Currency 23" xfId="47" xr:uid="{B2AF282B-47F5-4B9C-8091-FE7DEEB64968}"/>
    <cellStyle name="Currency 24" xfId="49" xr:uid="{15F48962-0A33-49A7-82AF-750F0A6678A8}"/>
    <cellStyle name="Currency 25" xfId="51" xr:uid="{A48B6937-6AFD-4759-94F1-5B893BC801D9}"/>
    <cellStyle name="Currency 26" xfId="53" xr:uid="{955AC004-70F3-49E2-B550-707715ED12A4}"/>
    <cellStyle name="Currency 27" xfId="55" xr:uid="{92E9782A-8F6C-4D45-82F7-2BB5F5738364}"/>
    <cellStyle name="Currency 28" xfId="57" xr:uid="{2F4F94EC-4F99-4C07-BE96-151BA3485196}"/>
    <cellStyle name="Currency 29" xfId="59" xr:uid="{3636ECF1-AE70-4E55-9C87-F4AD673ADA4F}"/>
    <cellStyle name="Currency 3" xfId="10" xr:uid="{593245A8-B486-4A06-AC83-02B3845FFA95}"/>
    <cellStyle name="Currency 30" xfId="61" xr:uid="{85A4C556-C230-4FBC-A3F7-21E100E6BCCF}"/>
    <cellStyle name="Currency 31" xfId="64" xr:uid="{0D696D05-2649-413D-A28B-5AEE73B8DFE8}"/>
    <cellStyle name="Currency 32" xfId="66" xr:uid="{91BCC095-9313-4047-B999-E8C0FF80BD24}"/>
    <cellStyle name="Currency 4" xfId="9" xr:uid="{88F2A60B-D47C-4E01-A169-FEBFC374913F}"/>
    <cellStyle name="Currency 5" xfId="11" xr:uid="{71D2610A-B745-4091-B07D-0BFDD36DFC7B}"/>
    <cellStyle name="Currency 6" xfId="13" xr:uid="{0C70A7E5-731A-4FB2-B758-87E6213167ED}"/>
    <cellStyle name="Currency 7" xfId="15" xr:uid="{A90FA8E1-3D16-48EC-AA87-05A1121FC70C}"/>
    <cellStyle name="Currency 8" xfId="17" xr:uid="{D3071C7B-6653-4432-8DD7-D373F3857BF5}"/>
    <cellStyle name="Currency 9" xfId="19" xr:uid="{1DE04402-6C45-4D62-AAA0-172A64BAFE17}"/>
    <cellStyle name="Normal" xfId="0" builtinId="0"/>
    <cellStyle name="Normal 2" xfId="1" xr:uid="{F4B270C6-E89D-49AA-9FD6-25A3A1498C13}"/>
    <cellStyle name="Percent 2" xfId="6" xr:uid="{2437552A-26DE-4EF3-8FE8-0DB511EC361A}"/>
  </cellStyles>
  <dxfs count="8">
    <dxf>
      <font>
        <b/>
        <sz val="9"/>
        <color rgb="FFFFFFFF"/>
        <name val="Arial"/>
        <charset val="1"/>
      </font>
      <fill>
        <patternFill>
          <bgColor rgb="FF1A7F4B"/>
        </patternFill>
      </fill>
    </dxf>
    <dxf>
      <font>
        <b/>
        <sz val="9"/>
        <color rgb="FFFFFFFF"/>
        <name val="Arial"/>
        <charset val="1"/>
      </font>
      <fill>
        <patternFill>
          <bgColor rgb="FFC98A12"/>
        </patternFill>
      </fill>
    </dxf>
    <dxf>
      <font>
        <b/>
        <sz val="9"/>
        <color rgb="FFFFFFFF"/>
        <name val="Arial"/>
        <charset val="1"/>
      </font>
      <fill>
        <patternFill>
          <bgColor rgb="FFC0392B"/>
        </patternFill>
      </fill>
    </dxf>
    <dxf>
      <font>
        <b/>
        <sz val="9"/>
        <color rgb="FFFFFFFF"/>
        <name val="Arial"/>
        <charset val="1"/>
      </font>
      <fill>
        <patternFill>
          <bgColor rgb="FFA01F1F"/>
        </patternFill>
      </fill>
    </dxf>
    <dxf>
      <font>
        <b/>
        <sz val="12"/>
        <color rgb="FFFFFFFF"/>
        <name val="Arial"/>
        <charset val="1"/>
      </font>
      <fill>
        <patternFill>
          <bgColor rgb="FF1A7F4B"/>
        </patternFill>
      </fill>
    </dxf>
    <dxf>
      <font>
        <b/>
        <sz val="12"/>
        <color rgb="FFFFFFFF"/>
        <name val="Arial"/>
        <charset val="1"/>
      </font>
      <fill>
        <patternFill>
          <bgColor rgb="FFC98A12"/>
        </patternFill>
      </fill>
    </dxf>
    <dxf>
      <font>
        <b/>
        <sz val="12"/>
        <color rgb="FFFFFFFF"/>
        <name val="Arial"/>
        <charset val="1"/>
      </font>
      <fill>
        <patternFill>
          <bgColor rgb="FFC0392B"/>
        </patternFill>
      </fill>
    </dxf>
    <dxf>
      <font>
        <b/>
        <sz val="12"/>
        <color rgb="FFFFFFFF"/>
        <name val="Arial"/>
        <charset val="1"/>
      </font>
      <fill>
        <patternFill>
          <bgColor rgb="FFA01F1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1A7F4B"/>
      <rgbColor rgb="FFC0C0C0"/>
      <rgbColor rgb="FF808080"/>
      <rgbColor rgb="FF9999FF"/>
      <rgbColor rgb="FFC0392B"/>
      <rgbColor rgb="FFFFF7D6"/>
      <rgbColor rgb="FFEEF4FF"/>
      <rgbColor rgb="FF660066"/>
      <rgbColor rgb="FFFF8080"/>
      <rgbColor rgb="FF0066CC"/>
      <rgbColor rgb="FFD5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8A12"/>
      <rgbColor rgb="FFFF6600"/>
      <rgbColor rgb="FF697089"/>
      <rgbColor rgb="FF969696"/>
      <rgbColor rgb="FF12305A"/>
      <rgbColor rgb="FF339966"/>
      <rgbColor rgb="FF003300"/>
      <rgbColor rgb="FF1C2230"/>
      <rgbColor rgb="FFA01F1F"/>
      <rgbColor rgb="FF993366"/>
      <rgbColor rgb="FF333399"/>
      <rgbColor rgb="FF232A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0"/>
  <sheetViews>
    <sheetView showGridLines="0" zoomScale="85" zoomScaleNormal="85" workbookViewId="0">
      <selection activeCell="B20" sqref="B20"/>
    </sheetView>
  </sheetViews>
  <sheetFormatPr defaultColWidth="8.6640625" defaultRowHeight="14.4" x14ac:dyDescent="0.3"/>
  <cols>
    <col min="1" max="1" width="3" customWidth="1"/>
    <col min="2" max="2" width="34" customWidth="1"/>
    <col min="3" max="3" width="66" customWidth="1"/>
  </cols>
  <sheetData>
    <row r="2" spans="1:4" ht="30" customHeight="1" x14ac:dyDescent="0.3">
      <c r="A2" s="46" t="s">
        <v>0</v>
      </c>
      <c r="B2" s="46"/>
      <c r="C2" s="46"/>
      <c r="D2" s="46"/>
    </row>
    <row r="3" spans="1:4" x14ac:dyDescent="0.3">
      <c r="B3" s="7"/>
    </row>
    <row r="4" spans="1:4" ht="15" thickBot="1" x14ac:dyDescent="0.35"/>
    <row r="5" spans="1:4" ht="25.5" customHeight="1" thickBot="1" x14ac:dyDescent="0.35">
      <c r="B5" s="8" t="s">
        <v>1</v>
      </c>
      <c r="C5" s="38" t="s">
        <v>2</v>
      </c>
    </row>
    <row r="6" spans="1:4" ht="25.5" customHeight="1" thickBot="1" x14ac:dyDescent="0.35">
      <c r="B6" s="8" t="s">
        <v>3</v>
      </c>
      <c r="C6" s="38" t="s">
        <v>172</v>
      </c>
    </row>
    <row r="7" spans="1:4" ht="25.5" customHeight="1" thickBot="1" x14ac:dyDescent="0.35">
      <c r="B7" s="8" t="s">
        <v>4</v>
      </c>
      <c r="C7" s="38" t="s">
        <v>173</v>
      </c>
    </row>
    <row r="8" spans="1:4" ht="25.5" customHeight="1" thickBot="1" x14ac:dyDescent="0.35">
      <c r="B8" s="8" t="s">
        <v>5</v>
      </c>
      <c r="C8" s="38" t="s">
        <v>174</v>
      </c>
    </row>
    <row r="9" spans="1:4" ht="25.5" customHeight="1" thickBot="1" x14ac:dyDescent="0.35">
      <c r="B9" s="8" t="s">
        <v>6</v>
      </c>
      <c r="C9" s="38" t="s">
        <v>175</v>
      </c>
    </row>
    <row r="10" spans="1:4" ht="25.5" customHeight="1" thickBot="1" x14ac:dyDescent="0.35">
      <c r="B10" s="8" t="s">
        <v>7</v>
      </c>
      <c r="C10" s="39">
        <v>40000</v>
      </c>
    </row>
    <row r="11" spans="1:4" ht="25.5" customHeight="1" thickBot="1" x14ac:dyDescent="0.35">
      <c r="B11" s="8" t="s">
        <v>8</v>
      </c>
      <c r="C11" s="38" t="s">
        <v>176</v>
      </c>
    </row>
    <row r="12" spans="1:4" ht="25.5" customHeight="1" thickBot="1" x14ac:dyDescent="0.35">
      <c r="B12" s="8" t="s">
        <v>9</v>
      </c>
      <c r="C12" s="38" t="s">
        <v>177</v>
      </c>
    </row>
    <row r="13" spans="1:4" ht="25.5" customHeight="1" thickBot="1" x14ac:dyDescent="0.35">
      <c r="B13" s="8" t="s">
        <v>10</v>
      </c>
      <c r="C13" s="38" t="s">
        <v>178</v>
      </c>
    </row>
    <row r="14" spans="1:4" ht="25.5" customHeight="1" thickBot="1" x14ac:dyDescent="0.35">
      <c r="B14" s="8" t="s">
        <v>11</v>
      </c>
      <c r="C14" s="38" t="s">
        <v>179</v>
      </c>
    </row>
    <row r="15" spans="1:4" ht="25.5" customHeight="1" thickBot="1" x14ac:dyDescent="0.35">
      <c r="B15" s="8" t="s">
        <v>12</v>
      </c>
      <c r="C15" s="38" t="s">
        <v>180</v>
      </c>
    </row>
    <row r="16" spans="1:4" ht="25.5" customHeight="1" thickBot="1" x14ac:dyDescent="0.35">
      <c r="B16" s="8" t="s">
        <v>13</v>
      </c>
      <c r="C16" s="40">
        <v>46227</v>
      </c>
    </row>
    <row r="18" spans="2:2" x14ac:dyDescent="0.3">
      <c r="B18" s="9"/>
    </row>
    <row r="19" spans="2:2" x14ac:dyDescent="0.3">
      <c r="B19" s="10"/>
    </row>
    <row r="20" spans="2:2" x14ac:dyDescent="0.3">
      <c r="B20" s="10"/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15"/>
  <sheetViews>
    <sheetView showGridLines="0" zoomScaleNormal="100" workbookViewId="0">
      <selection activeCell="B15" sqref="B15"/>
    </sheetView>
  </sheetViews>
  <sheetFormatPr defaultColWidth="8.6640625" defaultRowHeight="14.4" x14ac:dyDescent="0.3"/>
  <cols>
    <col min="1" max="1" width="3" customWidth="1"/>
    <col min="2" max="2" width="40" customWidth="1"/>
    <col min="3" max="4" width="12" customWidth="1"/>
    <col min="5" max="5" width="16" customWidth="1"/>
  </cols>
  <sheetData>
    <row r="2" spans="1:5" ht="30" customHeight="1" x14ac:dyDescent="0.3">
      <c r="A2" s="46" t="s">
        <v>14</v>
      </c>
      <c r="B2" s="46"/>
      <c r="C2" s="46"/>
      <c r="D2" s="46"/>
      <c r="E2" s="46"/>
    </row>
    <row r="3" spans="1:5" x14ac:dyDescent="0.3">
      <c r="B3" s="7"/>
    </row>
    <row r="5" spans="1:5" x14ac:dyDescent="0.3">
      <c r="B5" s="11" t="s">
        <v>15</v>
      </c>
      <c r="C5" s="11" t="s">
        <v>16</v>
      </c>
      <c r="D5" s="11" t="s">
        <v>17</v>
      </c>
      <c r="E5" s="11" t="s">
        <v>18</v>
      </c>
    </row>
    <row r="6" spans="1:5" ht="26.4" x14ac:dyDescent="0.3">
      <c r="B6" s="12" t="s">
        <v>19</v>
      </c>
      <c r="C6" s="13">
        <v>5</v>
      </c>
      <c r="D6" s="14">
        <v>0.35</v>
      </c>
      <c r="E6" s="15">
        <f>C6*D6</f>
        <v>1.75</v>
      </c>
    </row>
    <row r="7" spans="1:5" ht="26.4" x14ac:dyDescent="0.3">
      <c r="B7" s="12" t="s">
        <v>20</v>
      </c>
      <c r="C7" s="13">
        <v>5</v>
      </c>
      <c r="D7" s="14">
        <v>0.3</v>
      </c>
      <c r="E7" s="15">
        <f>C7*D7</f>
        <v>1.5</v>
      </c>
    </row>
    <row r="8" spans="1:5" ht="26.4" x14ac:dyDescent="0.3">
      <c r="B8" s="12" t="s">
        <v>21</v>
      </c>
      <c r="C8" s="13">
        <v>5</v>
      </c>
      <c r="D8" s="14">
        <v>0.2</v>
      </c>
      <c r="E8" s="15">
        <f>C8*D8</f>
        <v>1</v>
      </c>
    </row>
    <row r="9" spans="1:5" x14ac:dyDescent="0.3">
      <c r="B9" s="12" t="s">
        <v>22</v>
      </c>
      <c r="C9" s="13">
        <v>4</v>
      </c>
      <c r="D9" s="14">
        <v>0.15</v>
      </c>
      <c r="E9" s="15">
        <f>C9*D9</f>
        <v>0.6</v>
      </c>
    </row>
    <row r="10" spans="1:5" x14ac:dyDescent="0.3">
      <c r="B10" s="8" t="s">
        <v>23</v>
      </c>
      <c r="C10" s="16"/>
      <c r="D10" s="17">
        <f>SUM(D6:D9)</f>
        <v>0.99999999999999989</v>
      </c>
      <c r="E10" s="18">
        <f>SUM(E6:E9)</f>
        <v>4.8499999999999996</v>
      </c>
    </row>
    <row r="12" spans="1:5" ht="27.75" customHeight="1" x14ac:dyDescent="0.3">
      <c r="B12" s="1" t="s">
        <v>24</v>
      </c>
      <c r="C12" s="47" t="str">
        <f>IF(E10&gt;=4,"CRITICAL",IF(E10&gt;=3,"HIGH",IF(E10&gt;=2,"MEDIUM","LOW")))</f>
        <v>CRITICAL</v>
      </c>
      <c r="D12" s="47"/>
      <c r="E12" s="47"/>
    </row>
    <row r="14" spans="1:5" x14ac:dyDescent="0.3">
      <c r="B14" s="9"/>
    </row>
    <row r="15" spans="1:5" x14ac:dyDescent="0.3">
      <c r="B15" s="9"/>
    </row>
  </sheetData>
  <mergeCells count="2">
    <mergeCell ref="A2:E2"/>
    <mergeCell ref="C12:E12"/>
  </mergeCells>
  <conditionalFormatting sqref="C12:E12">
    <cfRule type="cellIs" dxfId="7" priority="2" operator="equal">
      <formula>"CRITICAL"</formula>
    </cfRule>
    <cfRule type="cellIs" dxfId="6" priority="3" operator="equal">
      <formula>"HIGH"</formula>
    </cfRule>
    <cfRule type="cellIs" dxfId="5" priority="4" operator="equal">
      <formula>"MEDIUM"</formula>
    </cfRule>
    <cfRule type="cellIs" dxfId="4" priority="5" operator="equal">
      <formula>"LOW"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51"/>
  <sheetViews>
    <sheetView showGridLines="0" topLeftCell="A39" zoomScaleNormal="100" workbookViewId="0">
      <selection activeCell="B22" sqref="B22"/>
    </sheetView>
  </sheetViews>
  <sheetFormatPr defaultColWidth="8.6640625" defaultRowHeight="14.4" x14ac:dyDescent="0.3"/>
  <cols>
    <col min="1" max="1" width="3" customWidth="1"/>
    <col min="2" max="2" width="40" customWidth="1"/>
    <col min="3" max="3" width="30" customWidth="1"/>
    <col min="4" max="5" width="16" customWidth="1"/>
    <col min="6" max="6" width="55.6640625" customWidth="1"/>
  </cols>
  <sheetData>
    <row r="2" spans="1:6" ht="30" customHeight="1" x14ac:dyDescent="0.3">
      <c r="A2" s="46" t="s">
        <v>25</v>
      </c>
      <c r="B2" s="46"/>
      <c r="C2" s="46"/>
      <c r="D2" s="46"/>
      <c r="E2" s="46"/>
      <c r="F2" s="46"/>
    </row>
    <row r="3" spans="1:6" x14ac:dyDescent="0.3">
      <c r="B3" s="7"/>
    </row>
    <row r="5" spans="1:6" x14ac:dyDescent="0.3">
      <c r="B5" s="11" t="s">
        <v>26</v>
      </c>
      <c r="C5" s="11" t="s">
        <v>27</v>
      </c>
      <c r="D5" s="11" t="s">
        <v>28</v>
      </c>
      <c r="E5" s="11" t="s">
        <v>29</v>
      </c>
      <c r="F5" s="11" t="s">
        <v>30</v>
      </c>
    </row>
    <row r="6" spans="1:6" ht="19.5" customHeight="1" x14ac:dyDescent="0.3">
      <c r="B6" s="48" t="s">
        <v>31</v>
      </c>
      <c r="C6" s="48"/>
      <c r="D6" s="48"/>
      <c r="E6" s="48"/>
      <c r="F6" s="48"/>
    </row>
    <row r="7" spans="1:6" ht="24" customHeight="1" x14ac:dyDescent="0.3">
      <c r="B7" s="12" t="s">
        <v>32</v>
      </c>
      <c r="C7" s="19" t="s">
        <v>33</v>
      </c>
      <c r="D7" s="20" t="s">
        <v>34</v>
      </c>
      <c r="E7" s="21" t="s">
        <v>35</v>
      </c>
      <c r="F7" s="41" t="s">
        <v>181</v>
      </c>
    </row>
    <row r="8" spans="1:6" ht="24" customHeight="1" x14ac:dyDescent="0.3">
      <c r="B8" s="12" t="s">
        <v>36</v>
      </c>
      <c r="C8" s="19" t="s">
        <v>37</v>
      </c>
      <c r="D8" s="20" t="s">
        <v>34</v>
      </c>
      <c r="E8" s="21" t="s">
        <v>123</v>
      </c>
      <c r="F8" s="42" t="s">
        <v>182</v>
      </c>
    </row>
    <row r="9" spans="1:6" ht="24" customHeight="1" x14ac:dyDescent="0.3">
      <c r="B9" s="12" t="s">
        <v>38</v>
      </c>
      <c r="C9" s="19" t="s">
        <v>39</v>
      </c>
      <c r="D9" s="20" t="s">
        <v>40</v>
      </c>
      <c r="E9" s="21" t="s">
        <v>123</v>
      </c>
      <c r="F9" s="42" t="s">
        <v>183</v>
      </c>
    </row>
    <row r="10" spans="1:6" ht="19.5" customHeight="1" x14ac:dyDescent="0.3">
      <c r="B10" s="48" t="s">
        <v>41</v>
      </c>
      <c r="C10" s="48"/>
      <c r="D10" s="48"/>
      <c r="E10" s="48"/>
      <c r="F10" s="48"/>
    </row>
    <row r="11" spans="1:6" ht="24" customHeight="1" x14ac:dyDescent="0.3">
      <c r="B11" s="12" t="s">
        <v>42</v>
      </c>
      <c r="C11" s="19" t="s">
        <v>43</v>
      </c>
      <c r="D11" s="20" t="s">
        <v>44</v>
      </c>
      <c r="E11" s="21" t="s">
        <v>35</v>
      </c>
      <c r="F11" s="42" t="s">
        <v>184</v>
      </c>
    </row>
    <row r="12" spans="1:6" ht="24" customHeight="1" x14ac:dyDescent="0.3">
      <c r="B12" s="12" t="s">
        <v>45</v>
      </c>
      <c r="C12" s="19" t="s">
        <v>46</v>
      </c>
      <c r="D12" s="20" t="s">
        <v>47</v>
      </c>
      <c r="E12" s="21" t="s">
        <v>123</v>
      </c>
      <c r="F12" s="42" t="s">
        <v>185</v>
      </c>
    </row>
    <row r="13" spans="1:6" ht="24" customHeight="1" x14ac:dyDescent="0.3">
      <c r="B13" s="12" t="s">
        <v>48</v>
      </c>
      <c r="C13" s="19" t="s">
        <v>49</v>
      </c>
      <c r="D13" s="20" t="s">
        <v>50</v>
      </c>
      <c r="E13" s="21" t="s">
        <v>123</v>
      </c>
      <c r="F13" s="42" t="s">
        <v>186</v>
      </c>
    </row>
    <row r="14" spans="1:6" ht="24" customHeight="1" x14ac:dyDescent="0.3">
      <c r="B14" s="12" t="s">
        <v>51</v>
      </c>
      <c r="C14" s="19" t="s">
        <v>52</v>
      </c>
      <c r="D14" s="20" t="s">
        <v>53</v>
      </c>
      <c r="E14" s="21" t="s">
        <v>123</v>
      </c>
      <c r="F14" s="42" t="s">
        <v>187</v>
      </c>
    </row>
    <row r="15" spans="1:6" ht="19.5" customHeight="1" x14ac:dyDescent="0.3">
      <c r="B15" s="48" t="s">
        <v>54</v>
      </c>
      <c r="C15" s="48"/>
      <c r="D15" s="48"/>
      <c r="E15" s="48"/>
      <c r="F15" s="48"/>
    </row>
    <row r="16" spans="1:6" ht="24" customHeight="1" x14ac:dyDescent="0.3">
      <c r="B16" s="12" t="s">
        <v>55</v>
      </c>
      <c r="C16" s="19" t="s">
        <v>43</v>
      </c>
      <c r="D16" s="20" t="s">
        <v>56</v>
      </c>
      <c r="E16" s="21" t="s">
        <v>35</v>
      </c>
      <c r="F16" s="42" t="s">
        <v>188</v>
      </c>
    </row>
    <row r="17" spans="2:6" ht="24" customHeight="1" x14ac:dyDescent="0.3">
      <c r="B17" s="12" t="s">
        <v>57</v>
      </c>
      <c r="C17" s="19" t="s">
        <v>58</v>
      </c>
      <c r="D17" s="20" t="s">
        <v>59</v>
      </c>
      <c r="E17" s="21" t="s">
        <v>122</v>
      </c>
      <c r="F17" s="42" t="s">
        <v>189</v>
      </c>
    </row>
    <row r="18" spans="2:6" ht="24" customHeight="1" x14ac:dyDescent="0.3">
      <c r="B18" s="12" t="s">
        <v>60</v>
      </c>
      <c r="C18" s="19" t="s">
        <v>61</v>
      </c>
      <c r="D18" s="20" t="s">
        <v>62</v>
      </c>
      <c r="E18" s="21" t="s">
        <v>122</v>
      </c>
      <c r="F18" s="42" t="s">
        <v>190</v>
      </c>
    </row>
    <row r="19" spans="2:6" ht="24" customHeight="1" x14ac:dyDescent="0.3">
      <c r="B19" s="12" t="s">
        <v>63</v>
      </c>
      <c r="C19" s="19" t="s">
        <v>64</v>
      </c>
      <c r="D19" s="20" t="s">
        <v>65</v>
      </c>
      <c r="E19" s="21" t="s">
        <v>123</v>
      </c>
      <c r="F19" s="42" t="s">
        <v>191</v>
      </c>
    </row>
    <row r="20" spans="2:6" ht="24" customHeight="1" x14ac:dyDescent="0.3">
      <c r="B20" s="12" t="s">
        <v>66</v>
      </c>
      <c r="C20" s="19" t="s">
        <v>67</v>
      </c>
      <c r="D20" s="20" t="s">
        <v>65</v>
      </c>
      <c r="E20" s="21" t="s">
        <v>123</v>
      </c>
      <c r="F20" s="42" t="s">
        <v>192</v>
      </c>
    </row>
    <row r="21" spans="2:6" ht="19.5" customHeight="1" x14ac:dyDescent="0.3">
      <c r="B21" s="48" t="s">
        <v>68</v>
      </c>
      <c r="C21" s="48"/>
      <c r="D21" s="48"/>
      <c r="E21" s="48"/>
      <c r="F21" s="48"/>
    </row>
    <row r="22" spans="2:6" ht="24" customHeight="1" x14ac:dyDescent="0.3">
      <c r="B22" s="12" t="s">
        <v>69</v>
      </c>
      <c r="C22" s="19" t="s">
        <v>70</v>
      </c>
      <c r="D22" s="20" t="s">
        <v>71</v>
      </c>
      <c r="E22" s="21" t="s">
        <v>122</v>
      </c>
      <c r="F22" s="42" t="s">
        <v>193</v>
      </c>
    </row>
    <row r="23" spans="2:6" ht="24" customHeight="1" x14ac:dyDescent="0.3">
      <c r="B23" s="12" t="s">
        <v>72</v>
      </c>
      <c r="C23" s="19" t="s">
        <v>73</v>
      </c>
      <c r="D23" s="20" t="s">
        <v>74</v>
      </c>
      <c r="E23" s="21" t="s">
        <v>123</v>
      </c>
      <c r="F23" s="42" t="s">
        <v>194</v>
      </c>
    </row>
    <row r="24" spans="2:6" ht="24" customHeight="1" x14ac:dyDescent="0.3">
      <c r="B24" s="12" t="s">
        <v>75</v>
      </c>
      <c r="C24" s="19" t="s">
        <v>76</v>
      </c>
      <c r="D24" s="20" t="s">
        <v>74</v>
      </c>
      <c r="E24" s="21" t="s">
        <v>123</v>
      </c>
      <c r="F24" s="42" t="s">
        <v>195</v>
      </c>
    </row>
    <row r="25" spans="2:6" ht="19.5" customHeight="1" x14ac:dyDescent="0.3">
      <c r="B25" s="48" t="s">
        <v>77</v>
      </c>
      <c r="C25" s="48"/>
      <c r="D25" s="48"/>
      <c r="E25" s="48"/>
      <c r="F25" s="48"/>
    </row>
    <row r="26" spans="2:6" ht="24" customHeight="1" x14ac:dyDescent="0.3">
      <c r="B26" s="12" t="s">
        <v>78</v>
      </c>
      <c r="C26" s="19" t="s">
        <v>79</v>
      </c>
      <c r="D26" s="20" t="s">
        <v>80</v>
      </c>
      <c r="E26" s="21" t="s">
        <v>123</v>
      </c>
      <c r="F26" s="42" t="s">
        <v>196</v>
      </c>
    </row>
    <row r="27" spans="2:6" ht="24" customHeight="1" x14ac:dyDescent="0.3">
      <c r="B27" s="12" t="s">
        <v>81</v>
      </c>
      <c r="C27" s="19" t="s">
        <v>43</v>
      </c>
      <c r="D27" s="20" t="s">
        <v>82</v>
      </c>
      <c r="E27" s="21" t="s">
        <v>123</v>
      </c>
      <c r="F27" s="42" t="s">
        <v>197</v>
      </c>
    </row>
    <row r="28" spans="2:6" ht="19.5" customHeight="1" x14ac:dyDescent="0.3">
      <c r="B28" s="48" t="s">
        <v>83</v>
      </c>
      <c r="C28" s="48"/>
      <c r="D28" s="48"/>
      <c r="E28" s="48"/>
      <c r="F28" s="48"/>
    </row>
    <row r="29" spans="2:6" ht="24" customHeight="1" x14ac:dyDescent="0.3">
      <c r="B29" s="12" t="s">
        <v>84</v>
      </c>
      <c r="C29" s="19" t="s">
        <v>43</v>
      </c>
      <c r="D29" s="20" t="s">
        <v>85</v>
      </c>
      <c r="E29" s="21" t="s">
        <v>35</v>
      </c>
      <c r="F29" s="42" t="s">
        <v>198</v>
      </c>
    </row>
    <row r="30" spans="2:6" ht="24" customHeight="1" x14ac:dyDescent="0.3">
      <c r="B30" s="12" t="s">
        <v>86</v>
      </c>
      <c r="C30" s="19" t="s">
        <v>87</v>
      </c>
      <c r="D30" s="20" t="s">
        <v>88</v>
      </c>
      <c r="E30" s="21" t="s">
        <v>123</v>
      </c>
      <c r="F30" s="42" t="s">
        <v>199</v>
      </c>
    </row>
    <row r="31" spans="2:6" ht="24" customHeight="1" x14ac:dyDescent="0.3">
      <c r="B31" s="12" t="s">
        <v>89</v>
      </c>
      <c r="C31" s="19" t="s">
        <v>90</v>
      </c>
      <c r="D31" s="20" t="s">
        <v>85</v>
      </c>
      <c r="E31" s="21" t="s">
        <v>123</v>
      </c>
      <c r="F31" s="22" t="s">
        <v>200</v>
      </c>
    </row>
    <row r="32" spans="2:6" ht="19.5" customHeight="1" x14ac:dyDescent="0.3">
      <c r="B32" s="48" t="s">
        <v>91</v>
      </c>
      <c r="C32" s="48"/>
      <c r="D32" s="48"/>
      <c r="E32" s="48"/>
      <c r="F32" s="48"/>
    </row>
    <row r="33" spans="2:6" ht="24" customHeight="1" x14ac:dyDescent="0.3">
      <c r="B33" s="12" t="s">
        <v>92</v>
      </c>
      <c r="C33" s="19" t="s">
        <v>93</v>
      </c>
      <c r="D33" s="20" t="s">
        <v>94</v>
      </c>
      <c r="E33" s="21" t="s">
        <v>35</v>
      </c>
      <c r="F33" s="42" t="s">
        <v>201</v>
      </c>
    </row>
    <row r="34" spans="2:6" ht="24" customHeight="1" x14ac:dyDescent="0.3">
      <c r="B34" s="12" t="s">
        <v>95</v>
      </c>
      <c r="C34" s="19" t="s">
        <v>96</v>
      </c>
      <c r="D34" s="20" t="s">
        <v>94</v>
      </c>
      <c r="E34" s="21" t="s">
        <v>123</v>
      </c>
      <c r="F34" s="42" t="s">
        <v>202</v>
      </c>
    </row>
    <row r="35" spans="2:6" ht="24" customHeight="1" x14ac:dyDescent="0.3">
      <c r="B35" s="12" t="s">
        <v>97</v>
      </c>
      <c r="C35" s="19" t="s">
        <v>98</v>
      </c>
      <c r="D35" s="20" t="s">
        <v>94</v>
      </c>
      <c r="E35" s="21" t="s">
        <v>123</v>
      </c>
      <c r="F35" s="42" t="s">
        <v>203</v>
      </c>
    </row>
    <row r="36" spans="2:6" ht="19.5" customHeight="1" x14ac:dyDescent="0.3">
      <c r="B36" s="48" t="s">
        <v>99</v>
      </c>
      <c r="C36" s="48"/>
      <c r="D36" s="48"/>
      <c r="E36" s="48"/>
      <c r="F36" s="48"/>
    </row>
    <row r="37" spans="2:6" ht="24" customHeight="1" x14ac:dyDescent="0.3">
      <c r="B37" s="12" t="s">
        <v>100</v>
      </c>
      <c r="C37" s="19" t="s">
        <v>43</v>
      </c>
      <c r="D37" s="20" t="s">
        <v>101</v>
      </c>
      <c r="E37" s="21" t="s">
        <v>35</v>
      </c>
      <c r="F37" s="42" t="s">
        <v>204</v>
      </c>
    </row>
    <row r="38" spans="2:6" ht="24" customHeight="1" x14ac:dyDescent="0.3">
      <c r="B38" s="12" t="s">
        <v>102</v>
      </c>
      <c r="C38" s="19" t="s">
        <v>103</v>
      </c>
      <c r="D38" s="20" t="s">
        <v>104</v>
      </c>
      <c r="E38" s="21" t="s">
        <v>123</v>
      </c>
      <c r="F38" s="42" t="s">
        <v>205</v>
      </c>
    </row>
    <row r="39" spans="2:6" ht="19.5" customHeight="1" x14ac:dyDescent="0.3">
      <c r="B39" s="48" t="s">
        <v>105</v>
      </c>
      <c r="C39" s="48"/>
      <c r="D39" s="48"/>
      <c r="E39" s="48"/>
      <c r="F39" s="48"/>
    </row>
    <row r="40" spans="2:6" ht="24" customHeight="1" x14ac:dyDescent="0.3">
      <c r="B40" s="12" t="s">
        <v>106</v>
      </c>
      <c r="C40" s="19" t="s">
        <v>107</v>
      </c>
      <c r="D40" s="20" t="s">
        <v>108</v>
      </c>
      <c r="E40" s="21" t="s">
        <v>122</v>
      </c>
      <c r="F40" s="42" t="s">
        <v>206</v>
      </c>
    </row>
    <row r="41" spans="2:6" ht="24" customHeight="1" x14ac:dyDescent="0.3">
      <c r="B41" s="12" t="s">
        <v>109</v>
      </c>
      <c r="C41" s="19" t="s">
        <v>110</v>
      </c>
      <c r="D41" s="20" t="s">
        <v>111</v>
      </c>
      <c r="E41" s="21" t="s">
        <v>122</v>
      </c>
      <c r="F41" s="42" t="s">
        <v>207</v>
      </c>
    </row>
    <row r="42" spans="2:6" ht="24" customHeight="1" x14ac:dyDescent="0.3">
      <c r="B42" s="12" t="s">
        <v>112</v>
      </c>
      <c r="C42" s="19" t="s">
        <v>113</v>
      </c>
      <c r="D42" s="20" t="s">
        <v>65</v>
      </c>
      <c r="E42" s="21" t="s">
        <v>123</v>
      </c>
      <c r="F42" s="42" t="s">
        <v>208</v>
      </c>
    </row>
    <row r="43" spans="2:6" ht="19.5" customHeight="1" x14ac:dyDescent="0.3">
      <c r="B43" s="48" t="s">
        <v>114</v>
      </c>
      <c r="C43" s="48"/>
      <c r="D43" s="48"/>
      <c r="E43" s="48"/>
      <c r="F43" s="48"/>
    </row>
    <row r="44" spans="2:6" ht="24" customHeight="1" x14ac:dyDescent="0.3">
      <c r="B44" s="12" t="s">
        <v>115</v>
      </c>
      <c r="C44" s="19" t="s">
        <v>116</v>
      </c>
      <c r="D44" s="20" t="s">
        <v>117</v>
      </c>
      <c r="E44" s="21" t="s">
        <v>123</v>
      </c>
      <c r="F44" s="42" t="s">
        <v>209</v>
      </c>
    </row>
    <row r="45" spans="2:6" ht="24" customHeight="1" x14ac:dyDescent="0.3">
      <c r="B45" s="12" t="s">
        <v>118</v>
      </c>
      <c r="C45" s="19" t="s">
        <v>119</v>
      </c>
      <c r="D45" s="20" t="s">
        <v>120</v>
      </c>
      <c r="E45" s="21" t="s">
        <v>123</v>
      </c>
      <c r="F45" s="42" t="s">
        <v>210</v>
      </c>
    </row>
    <row r="47" spans="2:6" x14ac:dyDescent="0.3">
      <c r="B47" s="23" t="s">
        <v>121</v>
      </c>
    </row>
    <row r="48" spans="2:6" x14ac:dyDescent="0.3">
      <c r="B48" s="24" t="s">
        <v>35</v>
      </c>
      <c r="C48" s="25">
        <f>COUNTIF(E6:E46,"Met")</f>
        <v>6</v>
      </c>
    </row>
    <row r="49" spans="2:3" x14ac:dyDescent="0.3">
      <c r="B49" s="26" t="s">
        <v>122</v>
      </c>
      <c r="C49" s="25">
        <f>COUNTIF(E6:E47,"Partially met")</f>
        <v>5</v>
      </c>
    </row>
    <row r="50" spans="2:3" x14ac:dyDescent="0.3">
      <c r="B50" s="27" t="s">
        <v>123</v>
      </c>
      <c r="C50" s="25">
        <f>COUNTIF(E6:E48,"Not met")</f>
        <v>19</v>
      </c>
    </row>
    <row r="51" spans="2:3" x14ac:dyDescent="0.3">
      <c r="B51" s="28" t="s">
        <v>124</v>
      </c>
      <c r="C51" s="25">
        <f>COUNTIF(E6:E49,"N/A")</f>
        <v>0</v>
      </c>
    </row>
  </sheetData>
  <mergeCells count="11">
    <mergeCell ref="A2:F2"/>
    <mergeCell ref="B6:F6"/>
    <mergeCell ref="B10:F10"/>
    <mergeCell ref="B15:F15"/>
    <mergeCell ref="B21:F21"/>
    <mergeCell ref="B43:F43"/>
    <mergeCell ref="B25:F25"/>
    <mergeCell ref="B28:F28"/>
    <mergeCell ref="B32:F32"/>
    <mergeCell ref="B36:F36"/>
    <mergeCell ref="B39:F39"/>
  </mergeCells>
  <dataValidations count="1">
    <dataValidation type="list" allowBlank="1" sqref="E7:E9 E11:E14 E16:E20 E22:E24 E26:E27 E29:E31 E33:E35 E37:E38 E40:E42 E44:E45" xr:uid="{00000000-0002-0000-0300-000000000000}">
      <formula1>"Met,Partially met,Not met,N/A"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25"/>
  <sheetViews>
    <sheetView showGridLines="0" topLeftCell="A16" zoomScale="81" zoomScaleNormal="100" workbookViewId="0">
      <selection activeCell="D6" sqref="D6"/>
    </sheetView>
  </sheetViews>
  <sheetFormatPr defaultColWidth="8.6640625" defaultRowHeight="14.4" x14ac:dyDescent="0.3"/>
  <cols>
    <col min="1" max="1" width="3" customWidth="1"/>
    <col min="2" max="2" width="7" customWidth="1"/>
    <col min="3" max="3" width="18" customWidth="1"/>
    <col min="4" max="4" width="45.77734375" customWidth="1"/>
    <col min="5" max="5" width="14" customWidth="1"/>
    <col min="6" max="6" width="11" customWidth="1"/>
    <col min="7" max="8" width="9" customWidth="1"/>
    <col min="9" max="9" width="11" customWidth="1"/>
    <col min="10" max="10" width="43.77734375" customWidth="1"/>
    <col min="11" max="11" width="21.44140625" customWidth="1"/>
    <col min="12" max="12" width="13" customWidth="1"/>
  </cols>
  <sheetData>
    <row r="2" spans="1:12" ht="30" customHeight="1" x14ac:dyDescent="0.3">
      <c r="A2" s="46" t="s">
        <v>125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2" x14ac:dyDescent="0.3">
      <c r="B3" s="7"/>
    </row>
    <row r="5" spans="1:12" ht="30" customHeight="1" x14ac:dyDescent="0.3">
      <c r="B5" s="11" t="s">
        <v>126</v>
      </c>
      <c r="C5" s="11" t="s">
        <v>127</v>
      </c>
      <c r="D5" s="11" t="s">
        <v>128</v>
      </c>
      <c r="E5" s="11" t="s">
        <v>129</v>
      </c>
      <c r="F5" s="11" t="s">
        <v>130</v>
      </c>
      <c r="G5" s="11" t="s">
        <v>131</v>
      </c>
      <c r="H5" s="11" t="s">
        <v>132</v>
      </c>
      <c r="I5" s="11" t="s">
        <v>133</v>
      </c>
      <c r="J5" s="11" t="s">
        <v>134</v>
      </c>
      <c r="K5" s="11" t="s">
        <v>135</v>
      </c>
      <c r="L5" s="11" t="s">
        <v>136</v>
      </c>
    </row>
    <row r="6" spans="1:12" ht="45.6" customHeight="1" x14ac:dyDescent="0.3">
      <c r="B6" s="29" t="s">
        <v>137</v>
      </c>
      <c r="C6" s="22" t="s">
        <v>138</v>
      </c>
      <c r="D6" s="22" t="s">
        <v>139</v>
      </c>
      <c r="E6" s="22" t="s">
        <v>140</v>
      </c>
      <c r="F6" s="29">
        <v>4</v>
      </c>
      <c r="G6" s="29">
        <v>5</v>
      </c>
      <c r="H6" s="30">
        <f t="shared" ref="H6:H25" si="0">IF(OR(F6="",G6=""),"",F6*G6)</f>
        <v>20</v>
      </c>
      <c r="I6" s="30" t="str">
        <f t="shared" ref="I6:I25" si="1">IF(H6="","",IF(H6&gt;=15,"Critical",IF(H6&gt;=10,"High",IF(H6&gt;=5,"Medium","Low"))))</f>
        <v>Critical</v>
      </c>
      <c r="J6" s="22" t="s">
        <v>141</v>
      </c>
      <c r="K6" s="29" t="s">
        <v>142</v>
      </c>
      <c r="L6" s="29" t="s">
        <v>143</v>
      </c>
    </row>
    <row r="7" spans="1:12" ht="57" customHeight="1" x14ac:dyDescent="0.3">
      <c r="B7" s="29" t="s">
        <v>211</v>
      </c>
      <c r="C7" s="22" t="s">
        <v>212</v>
      </c>
      <c r="D7" s="22" t="s">
        <v>213</v>
      </c>
      <c r="E7" s="22" t="s">
        <v>214</v>
      </c>
      <c r="F7" s="29">
        <v>4</v>
      </c>
      <c r="G7" s="29">
        <v>5</v>
      </c>
      <c r="H7" s="30">
        <v>20</v>
      </c>
      <c r="I7" s="30" t="s">
        <v>215</v>
      </c>
      <c r="J7" s="22" t="s">
        <v>216</v>
      </c>
      <c r="K7" s="29" t="s">
        <v>217</v>
      </c>
      <c r="L7" s="29" t="s">
        <v>143</v>
      </c>
    </row>
    <row r="8" spans="1:12" ht="40.200000000000003" customHeight="1" x14ac:dyDescent="0.3">
      <c r="B8" s="29" t="s">
        <v>218</v>
      </c>
      <c r="C8" s="22" t="s">
        <v>219</v>
      </c>
      <c r="D8" s="22" t="s">
        <v>220</v>
      </c>
      <c r="E8" s="22" t="s">
        <v>140</v>
      </c>
      <c r="F8" s="29">
        <v>3</v>
      </c>
      <c r="G8" s="29">
        <v>4</v>
      </c>
      <c r="H8" s="30">
        <v>12</v>
      </c>
      <c r="I8" s="30" t="s">
        <v>221</v>
      </c>
      <c r="J8" s="22" t="s">
        <v>222</v>
      </c>
      <c r="K8" s="43">
        <v>46257</v>
      </c>
      <c r="L8" s="29" t="s">
        <v>143</v>
      </c>
    </row>
    <row r="9" spans="1:12" ht="56.4" customHeight="1" x14ac:dyDescent="0.3">
      <c r="B9" s="29" t="s">
        <v>223</v>
      </c>
      <c r="C9" s="41" t="s">
        <v>248</v>
      </c>
      <c r="D9" s="22" t="s">
        <v>224</v>
      </c>
      <c r="E9" s="22" t="s">
        <v>140</v>
      </c>
      <c r="F9" s="29">
        <v>3</v>
      </c>
      <c r="G9" s="29">
        <v>4</v>
      </c>
      <c r="H9" s="30">
        <v>12</v>
      </c>
      <c r="I9" s="30" t="s">
        <v>221</v>
      </c>
      <c r="J9" s="22" t="s">
        <v>225</v>
      </c>
      <c r="K9" s="43">
        <v>46257</v>
      </c>
      <c r="L9" s="29" t="s">
        <v>143</v>
      </c>
    </row>
    <row r="10" spans="1:12" ht="60.6" customHeight="1" x14ac:dyDescent="0.3">
      <c r="B10" s="29" t="s">
        <v>226</v>
      </c>
      <c r="C10" s="22" t="s">
        <v>227</v>
      </c>
      <c r="D10" s="22" t="s">
        <v>228</v>
      </c>
      <c r="E10" s="22" t="s">
        <v>140</v>
      </c>
      <c r="F10" s="29">
        <v>3</v>
      </c>
      <c r="G10" s="29">
        <v>4</v>
      </c>
      <c r="H10" s="30">
        <v>12</v>
      </c>
      <c r="I10" s="30" t="s">
        <v>221</v>
      </c>
      <c r="J10" s="22" t="s">
        <v>229</v>
      </c>
      <c r="K10" s="43">
        <v>46257</v>
      </c>
      <c r="L10" s="29" t="s">
        <v>143</v>
      </c>
    </row>
    <row r="11" spans="1:12" ht="48" customHeight="1" x14ac:dyDescent="0.3">
      <c r="B11" s="29" t="s">
        <v>230</v>
      </c>
      <c r="C11" s="22" t="s">
        <v>231</v>
      </c>
      <c r="D11" s="22" t="s">
        <v>232</v>
      </c>
      <c r="E11" s="22" t="s">
        <v>140</v>
      </c>
      <c r="F11" s="29">
        <v>2</v>
      </c>
      <c r="G11" s="29">
        <v>3</v>
      </c>
      <c r="H11" s="30">
        <v>6</v>
      </c>
      <c r="I11" s="30" t="s">
        <v>233</v>
      </c>
      <c r="J11" s="22" t="s">
        <v>234</v>
      </c>
      <c r="K11" s="43">
        <v>46317</v>
      </c>
      <c r="L11" s="29" t="s">
        <v>143</v>
      </c>
    </row>
    <row r="12" spans="1:12" ht="51.6" customHeight="1" x14ac:dyDescent="0.3">
      <c r="B12" s="29" t="s">
        <v>235</v>
      </c>
      <c r="C12" s="22" t="s">
        <v>236</v>
      </c>
      <c r="D12" s="22" t="s">
        <v>237</v>
      </c>
      <c r="E12" s="22" t="s">
        <v>140</v>
      </c>
      <c r="F12" s="29">
        <v>2</v>
      </c>
      <c r="G12" s="29">
        <v>4</v>
      </c>
      <c r="H12" s="30">
        <v>8</v>
      </c>
      <c r="I12" s="30" t="s">
        <v>233</v>
      </c>
      <c r="J12" s="22" t="s">
        <v>238</v>
      </c>
      <c r="K12" s="43">
        <v>46317</v>
      </c>
      <c r="L12" s="29" t="s">
        <v>143</v>
      </c>
    </row>
    <row r="13" spans="1:12" ht="52.8" customHeight="1" x14ac:dyDescent="0.3">
      <c r="B13" s="29" t="s">
        <v>239</v>
      </c>
      <c r="C13" s="22" t="s">
        <v>240</v>
      </c>
      <c r="D13" s="22" t="s">
        <v>241</v>
      </c>
      <c r="E13" s="22" t="s">
        <v>140</v>
      </c>
      <c r="F13" s="29">
        <v>2</v>
      </c>
      <c r="G13" s="29">
        <v>3</v>
      </c>
      <c r="H13" s="30">
        <v>6</v>
      </c>
      <c r="I13" s="30" t="s">
        <v>233</v>
      </c>
      <c r="J13" s="22" t="s">
        <v>242</v>
      </c>
      <c r="K13" s="43">
        <v>46317</v>
      </c>
      <c r="L13" s="29" t="s">
        <v>143</v>
      </c>
    </row>
    <row r="14" spans="1:12" ht="62.4" customHeight="1" x14ac:dyDescent="0.3">
      <c r="B14" s="29" t="s">
        <v>243</v>
      </c>
      <c r="C14" s="22" t="s">
        <v>244</v>
      </c>
      <c r="D14" s="22" t="s">
        <v>245</v>
      </c>
      <c r="E14" s="22" t="s">
        <v>214</v>
      </c>
      <c r="F14" s="29">
        <v>2</v>
      </c>
      <c r="G14" s="29">
        <v>4</v>
      </c>
      <c r="H14" s="30">
        <v>8</v>
      </c>
      <c r="I14" s="30" t="s">
        <v>233</v>
      </c>
      <c r="J14" s="22" t="s">
        <v>246</v>
      </c>
      <c r="K14" s="29" t="s">
        <v>247</v>
      </c>
      <c r="L14" s="29" t="s">
        <v>143</v>
      </c>
    </row>
    <row r="15" spans="1:12" ht="30" customHeight="1" x14ac:dyDescent="0.3">
      <c r="B15" s="29"/>
      <c r="C15" s="22"/>
      <c r="D15" s="22"/>
      <c r="E15" s="22"/>
      <c r="F15" s="29"/>
      <c r="G15" s="29"/>
      <c r="H15" s="30" t="str">
        <f t="shared" si="0"/>
        <v/>
      </c>
      <c r="I15" s="30" t="str">
        <f t="shared" si="1"/>
        <v/>
      </c>
      <c r="J15" s="22"/>
      <c r="K15" s="29"/>
      <c r="L15" s="29"/>
    </row>
    <row r="16" spans="1:12" ht="30" customHeight="1" x14ac:dyDescent="0.3">
      <c r="B16" s="29"/>
      <c r="C16" s="22"/>
      <c r="D16" s="22"/>
      <c r="E16" s="22"/>
      <c r="F16" s="29"/>
      <c r="G16" s="29"/>
      <c r="H16" s="30" t="str">
        <f t="shared" si="0"/>
        <v/>
      </c>
      <c r="I16" s="30" t="str">
        <f t="shared" si="1"/>
        <v/>
      </c>
      <c r="J16" s="22"/>
      <c r="K16" s="29"/>
      <c r="L16" s="29"/>
    </row>
    <row r="17" spans="2:12" ht="30" customHeight="1" x14ac:dyDescent="0.3">
      <c r="B17" s="29"/>
      <c r="C17" s="22"/>
      <c r="D17" s="22"/>
      <c r="E17" s="22"/>
      <c r="F17" s="29"/>
      <c r="G17" s="29"/>
      <c r="H17" s="30" t="str">
        <f t="shared" si="0"/>
        <v/>
      </c>
      <c r="I17" s="30" t="str">
        <f t="shared" si="1"/>
        <v/>
      </c>
      <c r="J17" s="22"/>
      <c r="K17" s="29"/>
      <c r="L17" s="29"/>
    </row>
    <row r="18" spans="2:12" ht="30" customHeight="1" x14ac:dyDescent="0.3">
      <c r="B18" s="29"/>
      <c r="C18" s="22"/>
      <c r="D18" s="22"/>
      <c r="E18" s="22"/>
      <c r="F18" s="29"/>
      <c r="G18" s="29"/>
      <c r="H18" s="30" t="str">
        <f t="shared" si="0"/>
        <v/>
      </c>
      <c r="I18" s="30" t="str">
        <f t="shared" si="1"/>
        <v/>
      </c>
      <c r="J18" s="22"/>
      <c r="K18" s="29"/>
      <c r="L18" s="29"/>
    </row>
    <row r="19" spans="2:12" ht="30" customHeight="1" x14ac:dyDescent="0.3">
      <c r="B19" s="29"/>
      <c r="C19" s="22"/>
      <c r="D19" s="22"/>
      <c r="E19" s="22"/>
      <c r="F19" s="29"/>
      <c r="G19" s="29"/>
      <c r="H19" s="30" t="str">
        <f t="shared" si="0"/>
        <v/>
      </c>
      <c r="I19" s="30" t="str">
        <f t="shared" si="1"/>
        <v/>
      </c>
      <c r="J19" s="22"/>
      <c r="K19" s="29"/>
      <c r="L19" s="29"/>
    </row>
    <row r="20" spans="2:12" ht="30" customHeight="1" x14ac:dyDescent="0.3">
      <c r="B20" s="29"/>
      <c r="C20" s="22"/>
      <c r="D20" s="22"/>
      <c r="E20" s="22"/>
      <c r="F20" s="29"/>
      <c r="G20" s="29"/>
      <c r="H20" s="30" t="str">
        <f t="shared" si="0"/>
        <v/>
      </c>
      <c r="I20" s="30" t="str">
        <f t="shared" si="1"/>
        <v/>
      </c>
      <c r="J20" s="22"/>
      <c r="K20" s="29"/>
      <c r="L20" s="29"/>
    </row>
    <row r="21" spans="2:12" ht="30" customHeight="1" x14ac:dyDescent="0.3">
      <c r="B21" s="29"/>
      <c r="C21" s="22"/>
      <c r="D21" s="22"/>
      <c r="E21" s="22"/>
      <c r="F21" s="29"/>
      <c r="G21" s="29"/>
      <c r="H21" s="30" t="str">
        <f t="shared" si="0"/>
        <v/>
      </c>
      <c r="I21" s="30" t="str">
        <f t="shared" si="1"/>
        <v/>
      </c>
      <c r="J21" s="22"/>
      <c r="K21" s="29"/>
      <c r="L21" s="29"/>
    </row>
    <row r="22" spans="2:12" ht="30" customHeight="1" x14ac:dyDescent="0.3">
      <c r="B22" s="29"/>
      <c r="C22" s="22"/>
      <c r="D22" s="22"/>
      <c r="E22" s="22"/>
      <c r="F22" s="29"/>
      <c r="G22" s="29"/>
      <c r="H22" s="30" t="str">
        <f t="shared" si="0"/>
        <v/>
      </c>
      <c r="I22" s="30" t="str">
        <f t="shared" si="1"/>
        <v/>
      </c>
      <c r="J22" s="22"/>
      <c r="K22" s="29"/>
      <c r="L22" s="29"/>
    </row>
    <row r="23" spans="2:12" ht="30" customHeight="1" x14ac:dyDescent="0.3">
      <c r="B23" s="29"/>
      <c r="C23" s="22"/>
      <c r="D23" s="22"/>
      <c r="E23" s="22"/>
      <c r="F23" s="29"/>
      <c r="G23" s="29"/>
      <c r="H23" s="30" t="str">
        <f t="shared" si="0"/>
        <v/>
      </c>
      <c r="I23" s="30" t="str">
        <f t="shared" si="1"/>
        <v/>
      </c>
      <c r="J23" s="22"/>
      <c r="K23" s="29"/>
      <c r="L23" s="29"/>
    </row>
    <row r="24" spans="2:12" ht="30" customHeight="1" x14ac:dyDescent="0.3">
      <c r="B24" s="29"/>
      <c r="C24" s="22"/>
      <c r="D24" s="22"/>
      <c r="E24" s="22"/>
      <c r="F24" s="29"/>
      <c r="G24" s="29"/>
      <c r="H24" s="30" t="str">
        <f t="shared" si="0"/>
        <v/>
      </c>
      <c r="I24" s="30" t="str">
        <f t="shared" si="1"/>
        <v/>
      </c>
      <c r="J24" s="22"/>
      <c r="K24" s="29"/>
      <c r="L24" s="29"/>
    </row>
    <row r="25" spans="2:12" ht="30" customHeight="1" x14ac:dyDescent="0.3">
      <c r="B25" s="29"/>
      <c r="C25" s="22"/>
      <c r="D25" s="22"/>
      <c r="E25" s="22"/>
      <c r="F25" s="29"/>
      <c r="G25" s="29"/>
      <c r="H25" s="30" t="str">
        <f t="shared" si="0"/>
        <v/>
      </c>
      <c r="I25" s="30" t="str">
        <f t="shared" si="1"/>
        <v/>
      </c>
      <c r="J25" s="22"/>
      <c r="K25" s="29"/>
      <c r="L25" s="29"/>
    </row>
  </sheetData>
  <mergeCells count="1">
    <mergeCell ref="A2:K2"/>
  </mergeCells>
  <conditionalFormatting sqref="I6:I25">
    <cfRule type="cellIs" dxfId="3" priority="2" operator="equal">
      <formula>"Critical"</formula>
    </cfRule>
    <cfRule type="cellIs" dxfId="2" priority="3" operator="equal">
      <formula>"High"</formula>
    </cfRule>
    <cfRule type="cellIs" dxfId="1" priority="4" operator="equal">
      <formula>"Medium"</formula>
    </cfRule>
    <cfRule type="cellIs" dxfId="0" priority="5" operator="equal">
      <formula>"Low"</formula>
    </cfRule>
  </conditionalFormatting>
  <dataValidations count="2">
    <dataValidation type="list" allowBlank="1" sqref="L6:L25" xr:uid="{00000000-0002-0000-0400-000000000000}">
      <formula1>"Open,In progress,Remediated,Accepted,Closed"</formula1>
      <formula2>0</formula2>
    </dataValidation>
    <dataValidation type="list" allowBlank="1" sqref="E6:E25" xr:uid="{00000000-0002-0000-0400-000001000000}">
      <formula1>"Vendor,Bank,Vendor + Bank"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17"/>
  <sheetViews>
    <sheetView showGridLines="0" topLeftCell="A13" zoomScaleNormal="100" workbookViewId="0"/>
  </sheetViews>
  <sheetFormatPr defaultColWidth="8.6640625" defaultRowHeight="14.4" x14ac:dyDescent="0.3"/>
  <cols>
    <col min="1" max="1" width="3" customWidth="1"/>
    <col min="2" max="2" width="22" customWidth="1"/>
    <col min="3" max="7" width="14" customWidth="1"/>
  </cols>
  <sheetData>
    <row r="2" spans="1:7" ht="30" customHeight="1" x14ac:dyDescent="0.3">
      <c r="A2" s="46" t="s">
        <v>144</v>
      </c>
      <c r="B2" s="46"/>
      <c r="C2" s="46"/>
      <c r="D2" s="46"/>
      <c r="E2" s="46"/>
      <c r="F2" s="46"/>
      <c r="G2" s="46"/>
    </row>
    <row r="5" spans="1:7" x14ac:dyDescent="0.3">
      <c r="B5" s="31" t="s">
        <v>145</v>
      </c>
      <c r="C5" s="31" t="s">
        <v>146</v>
      </c>
      <c r="D5" s="31" t="s">
        <v>147</v>
      </c>
      <c r="E5" s="31" t="s">
        <v>148</v>
      </c>
      <c r="F5" s="31" t="s">
        <v>149</v>
      </c>
      <c r="G5" s="31" t="s">
        <v>150</v>
      </c>
    </row>
    <row r="6" spans="1:7" ht="25.5" customHeight="1" x14ac:dyDescent="0.3">
      <c r="B6" s="31" t="s">
        <v>151</v>
      </c>
      <c r="C6" s="32">
        <v>5</v>
      </c>
      <c r="D6" s="33">
        <v>10</v>
      </c>
      <c r="E6" s="34">
        <v>15</v>
      </c>
      <c r="F6" s="34">
        <v>20</v>
      </c>
      <c r="G6" s="34">
        <v>25</v>
      </c>
    </row>
    <row r="7" spans="1:7" ht="25.5" customHeight="1" x14ac:dyDescent="0.3">
      <c r="B7" s="31" t="s">
        <v>152</v>
      </c>
      <c r="C7" s="35">
        <v>4</v>
      </c>
      <c r="D7" s="32">
        <v>8</v>
      </c>
      <c r="E7" s="33">
        <v>12</v>
      </c>
      <c r="F7" s="34">
        <v>16</v>
      </c>
      <c r="G7" s="34">
        <v>20</v>
      </c>
    </row>
    <row r="8" spans="1:7" ht="25.5" customHeight="1" x14ac:dyDescent="0.3">
      <c r="B8" s="31" t="s">
        <v>153</v>
      </c>
      <c r="C8" s="35">
        <v>3</v>
      </c>
      <c r="D8" s="32">
        <v>6</v>
      </c>
      <c r="E8" s="32">
        <v>9</v>
      </c>
      <c r="F8" s="33">
        <v>12</v>
      </c>
      <c r="G8" s="34">
        <v>15</v>
      </c>
    </row>
    <row r="9" spans="1:7" ht="25.5" customHeight="1" x14ac:dyDescent="0.3">
      <c r="B9" s="31" t="s">
        <v>154</v>
      </c>
      <c r="C9" s="35">
        <v>2</v>
      </c>
      <c r="D9" s="35">
        <v>4</v>
      </c>
      <c r="E9" s="32">
        <v>6</v>
      </c>
      <c r="F9" s="32">
        <v>8</v>
      </c>
      <c r="G9" s="33">
        <v>10</v>
      </c>
    </row>
    <row r="10" spans="1:7" ht="25.5" customHeight="1" x14ac:dyDescent="0.3">
      <c r="B10" s="31" t="s">
        <v>155</v>
      </c>
      <c r="C10" s="35">
        <v>1</v>
      </c>
      <c r="D10" s="35">
        <v>2</v>
      </c>
      <c r="E10" s="35">
        <v>3</v>
      </c>
      <c r="F10" s="35">
        <v>4</v>
      </c>
      <c r="G10" s="32">
        <v>5</v>
      </c>
    </row>
    <row r="13" spans="1:7" x14ac:dyDescent="0.3">
      <c r="B13" s="23" t="s">
        <v>156</v>
      </c>
    </row>
    <row r="14" spans="1:7" ht="19.5" customHeight="1" x14ac:dyDescent="0.3">
      <c r="B14" s="6" t="s">
        <v>157</v>
      </c>
    </row>
    <row r="15" spans="1:7" ht="19.5" customHeight="1" x14ac:dyDescent="0.3">
      <c r="B15" s="5" t="s">
        <v>158</v>
      </c>
    </row>
    <row r="16" spans="1:7" ht="19.5" customHeight="1" x14ac:dyDescent="0.3">
      <c r="B16" s="4" t="s">
        <v>159</v>
      </c>
    </row>
    <row r="17" spans="2:2" ht="19.5" customHeight="1" x14ac:dyDescent="0.3">
      <c r="B17" s="3" t="s">
        <v>160</v>
      </c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19"/>
  <sheetViews>
    <sheetView showGridLines="0" tabSelected="1" zoomScaleNormal="100" workbookViewId="0">
      <selection activeCell="F14" sqref="F14"/>
    </sheetView>
  </sheetViews>
  <sheetFormatPr defaultColWidth="8.6640625" defaultRowHeight="14.4" x14ac:dyDescent="0.3"/>
  <cols>
    <col min="1" max="1" width="3" customWidth="1"/>
    <col min="2" max="2" width="38" customWidth="1"/>
    <col min="3" max="3" width="62" customWidth="1"/>
  </cols>
  <sheetData>
    <row r="2" spans="1:4" ht="30" customHeight="1" x14ac:dyDescent="0.3">
      <c r="A2" s="46" t="s">
        <v>161</v>
      </c>
      <c r="B2" s="46"/>
      <c r="C2" s="46"/>
      <c r="D2" s="46"/>
    </row>
    <row r="3" spans="1:4" x14ac:dyDescent="0.3">
      <c r="B3" s="7"/>
    </row>
    <row r="5" spans="1:4" ht="25.5" customHeight="1" x14ac:dyDescent="0.3">
      <c r="B5" s="8" t="s">
        <v>162</v>
      </c>
      <c r="C5" s="36" t="str">
        <f>'2 · Tiering'!C12</f>
        <v>CRITICAL</v>
      </c>
    </row>
    <row r="6" spans="1:4" ht="25.5" customHeight="1" x14ac:dyDescent="0.3">
      <c r="B6" s="8" t="s">
        <v>163</v>
      </c>
      <c r="C6" s="36">
        <f>COUNTIF('4 · Findings'!I6:I25,"Critical")</f>
        <v>2</v>
      </c>
    </row>
    <row r="7" spans="1:4" ht="25.5" customHeight="1" x14ac:dyDescent="0.3">
      <c r="B7" s="8" t="s">
        <v>164</v>
      </c>
      <c r="C7" s="36">
        <f>COUNTIF('4 · Findings'!I6:I25,"High")</f>
        <v>3</v>
      </c>
    </row>
    <row r="8" spans="1:4" ht="25.5" customHeight="1" x14ac:dyDescent="0.3">
      <c r="B8" s="8" t="s">
        <v>165</v>
      </c>
      <c r="C8" s="36">
        <f>COUNTIF('4 · Findings'!I6:I25,"Medium")</f>
        <v>4</v>
      </c>
    </row>
    <row r="9" spans="1:4" ht="25.5" customHeight="1" x14ac:dyDescent="0.3">
      <c r="B9" s="8" t="s">
        <v>166</v>
      </c>
      <c r="C9" s="36">
        <f>COUNTIF('4 · Findings'!I6:I25,"Low")</f>
        <v>0</v>
      </c>
    </row>
    <row r="10" spans="1:4" ht="25.5" customHeight="1" x14ac:dyDescent="0.3">
      <c r="B10" s="8" t="s">
        <v>167</v>
      </c>
      <c r="C10" s="44" t="s">
        <v>215</v>
      </c>
    </row>
    <row r="11" spans="1:4" ht="25.5" customHeight="1" x14ac:dyDescent="0.3">
      <c r="B11" s="8" t="s">
        <v>168</v>
      </c>
      <c r="C11" s="44" t="s">
        <v>249</v>
      </c>
    </row>
    <row r="12" spans="1:4" ht="25.5" customHeight="1" x14ac:dyDescent="0.3">
      <c r="B12" s="8" t="s">
        <v>134</v>
      </c>
      <c r="C12" s="44" t="s">
        <v>250</v>
      </c>
    </row>
    <row r="13" spans="1:4" ht="25.5" customHeight="1" x14ac:dyDescent="0.3">
      <c r="B13" s="8" t="s">
        <v>169</v>
      </c>
      <c r="C13" s="44" t="s">
        <v>251</v>
      </c>
    </row>
    <row r="14" spans="1:4" ht="25.5" customHeight="1" x14ac:dyDescent="0.3">
      <c r="B14" s="8" t="s">
        <v>170</v>
      </c>
      <c r="C14" s="44" t="s">
        <v>252</v>
      </c>
    </row>
    <row r="15" spans="1:4" ht="25.5" customHeight="1" x14ac:dyDescent="0.3">
      <c r="B15" s="8" t="s">
        <v>171</v>
      </c>
      <c r="C15" s="45">
        <v>46227</v>
      </c>
    </row>
    <row r="17" spans="2:2" x14ac:dyDescent="0.3">
      <c r="B17" s="2"/>
    </row>
    <row r="18" spans="2:2" x14ac:dyDescent="0.3">
      <c r="B18" s="37"/>
    </row>
    <row r="19" spans="2:2" x14ac:dyDescent="0.3">
      <c r="B19" s="7"/>
    </row>
  </sheetData>
  <mergeCells count="1">
    <mergeCell ref="A2:D2"/>
  </mergeCells>
  <dataValidations count="2">
    <dataValidation type="list" allowBlank="1" sqref="C12" xr:uid="{00000000-0002-0000-0600-000000000000}">
      <formula1>"Approve,Approve with conditions,Reject / do not proceed"</formula1>
      <formula2>0</formula2>
    </dataValidation>
    <dataValidation type="list" allowBlank="1" sqref="C11" xr:uid="{00000000-0002-0000-0600-000001000000}">
      <formula1>"Yes,No,Only with conditions"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· Vendor Profile</vt:lpstr>
      <vt:lpstr>2 · Tiering</vt:lpstr>
      <vt:lpstr>3 · Questionnaire</vt:lpstr>
      <vt:lpstr>4 · Findings</vt:lpstr>
      <vt:lpstr>5 · Risk Matrix</vt:lpstr>
      <vt:lpstr>6 · Decision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 Adithyakrishnan</cp:lastModifiedBy>
  <cp:revision>0</cp:revision>
  <dcterms:created xsi:type="dcterms:W3CDTF">2026-07-11T11:47:44Z</dcterms:created>
  <dcterms:modified xsi:type="dcterms:W3CDTF">2026-09-01T06:41:58Z</dcterms:modified>
  <dc:language>en-US</dc:language>
</cp:coreProperties>
</file>